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es\ez_dv_edid_fw\"/>
    </mc:Choice>
  </mc:AlternateContent>
  <xr:revisionPtr revIDLastSave="0" documentId="13_ncr:1_{227B6564-91D4-4803-8097-2EC30FDBCE5B}" xr6:coauthVersionLast="47" xr6:coauthVersionMax="47" xr10:uidLastSave="{00000000-0000-0000-0000-000000000000}"/>
  <bookViews>
    <workbookView xWindow="12303" yWindow="3468" windowWidth="26013" windowHeight="14538" activeTab="1" xr2:uid="{DE808AFE-8AFE-4111-8161-9EF8B03B2A2C}"/>
  </bookViews>
  <sheets>
    <sheet name="Patcher" sheetId="1" r:id="rId1"/>
    <sheet name="Custom FW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8" i="2" l="1"/>
  <c r="U8" i="2"/>
  <c r="Y7" i="2"/>
  <c r="Y8" i="2" s="1"/>
  <c r="W7" i="2"/>
  <c r="W8" i="2" s="1"/>
  <c r="X7" i="2"/>
  <c r="X8" i="2" s="1"/>
  <c r="V7" i="2"/>
  <c r="V8" i="2" s="1"/>
  <c r="T7" i="2"/>
  <c r="T8" i="2" s="1"/>
  <c r="R7" i="2"/>
  <c r="R8" i="2" s="1"/>
  <c r="Q8" i="2"/>
  <c r="N8" i="2"/>
  <c r="AP29" i="2" a="1"/>
  <c r="AP30" i="2" a="1"/>
  <c r="AP28" i="2" a="1"/>
  <c r="AP10" i="2" a="1"/>
  <c r="AP18" i="2" a="1"/>
  <c r="AP7" i="2" a="1"/>
  <c r="AP15" i="2" a="1"/>
  <c r="AP23" i="2" a="1"/>
  <c r="AP34" i="2" a="1"/>
  <c r="AP22" i="2" a="1"/>
  <c r="AP19" i="2" a="1"/>
  <c r="AP31" i="2" a="1"/>
  <c r="AP32" i="2" a="1"/>
  <c r="AP36" i="2" a="1"/>
  <c r="AP12" i="2" a="1"/>
  <c r="AP20" i="2" a="1"/>
  <c r="AP9" i="2" a="1"/>
  <c r="AP17" i="2" a="1"/>
  <c r="AP5" i="2" a="1"/>
  <c r="AP33" i="2" a="1"/>
  <c r="AP14" i="2" a="1"/>
  <c r="C4" i="1" a="1"/>
  <c r="AP27" i="2" a="1"/>
  <c r="AP26" i="2" a="1"/>
  <c r="AP35" i="2" a="1"/>
  <c r="AP8" i="2" a="1"/>
  <c r="AP16" i="2" a="1"/>
  <c r="AP24" i="2" a="1"/>
  <c r="AP13" i="2" a="1"/>
  <c r="AP21" i="2" a="1"/>
  <c r="AP25" i="2" a="1"/>
  <c r="AP6" i="2" a="1"/>
  <c r="AP11" i="2" a="1"/>
  <c r="V5" i="2" l="1"/>
  <c r="T5" i="2"/>
  <c r="X5" i="2"/>
  <c r="AP36" i="2"/>
  <c r="AN36" i="2" s="1"/>
  <c r="AP28" i="2"/>
  <c r="AN28" i="2" s="1"/>
  <c r="AP35" i="2"/>
  <c r="AN35" i="2" s="1"/>
  <c r="AP34" i="2"/>
  <c r="AN34" i="2" s="1"/>
  <c r="AP32" i="2"/>
  <c r="AN32" i="2" s="1"/>
  <c r="AP30" i="2"/>
  <c r="AN30" i="2" s="1"/>
  <c r="AP26" i="2"/>
  <c r="AN26" i="2" s="1"/>
  <c r="AP33" i="2"/>
  <c r="AN33" i="2" s="1"/>
  <c r="AP31" i="2"/>
  <c r="AN31" i="2" s="1"/>
  <c r="AP29" i="2"/>
  <c r="AN29" i="2" s="1"/>
  <c r="AP27" i="2"/>
  <c r="AN27" i="2" s="1"/>
  <c r="AP25" i="2"/>
  <c r="AN25" i="2" s="1"/>
  <c r="AP23" i="2"/>
  <c r="AN23" i="2" s="1"/>
  <c r="AP21" i="2"/>
  <c r="AN21" i="2" s="1"/>
  <c r="AP19" i="2"/>
  <c r="AN19" i="2" s="1"/>
  <c r="AP17" i="2"/>
  <c r="AN17" i="2" s="1"/>
  <c r="AP15" i="2"/>
  <c r="AN15" i="2" s="1"/>
  <c r="AP13" i="2"/>
  <c r="AN13" i="2" s="1"/>
  <c r="AP11" i="2"/>
  <c r="AN11" i="2" s="1"/>
  <c r="AP9" i="2"/>
  <c r="AN9" i="2" s="1"/>
  <c r="AP7" i="2"/>
  <c r="AN7" i="2" s="1"/>
  <c r="AP24" i="2"/>
  <c r="AN24" i="2" s="1"/>
  <c r="AP22" i="2"/>
  <c r="AN22" i="2" s="1"/>
  <c r="AP20" i="2"/>
  <c r="AN20" i="2" s="1"/>
  <c r="AP18" i="2"/>
  <c r="AN18" i="2" s="1"/>
  <c r="AP16" i="2"/>
  <c r="AN16" i="2" s="1"/>
  <c r="AP14" i="2"/>
  <c r="AN14" i="2" s="1"/>
  <c r="AP12" i="2"/>
  <c r="AN12" i="2" s="1"/>
  <c r="AP10" i="2"/>
  <c r="AN10" i="2" s="1"/>
  <c r="AP8" i="2"/>
  <c r="AN8" i="2" s="1"/>
  <c r="AP6" i="2"/>
  <c r="AN6" i="2" s="1"/>
  <c r="AP5" i="2"/>
  <c r="AN5" i="2" s="1"/>
  <c r="C4" i="1"/>
  <c r="R5" i="2"/>
  <c r="M8" i="2"/>
  <c r="L5" i="2" s="1"/>
  <c r="K8" i="2"/>
  <c r="J8" i="2"/>
  <c r="H5" i="2" s="1"/>
  <c r="AD3" i="1"/>
  <c r="AD5" i="1" s="1"/>
  <c r="AE3" i="1"/>
  <c r="AF3" i="1"/>
  <c r="AG3" i="1"/>
  <c r="AH3" i="1"/>
  <c r="AH5" i="1" s="1"/>
  <c r="AE5" i="1"/>
  <c r="AF5" i="1"/>
  <c r="AG5" i="1"/>
  <c r="I3" i="1"/>
  <c r="J3" i="1"/>
  <c r="K3" i="1"/>
  <c r="K5" i="1" s="1"/>
  <c r="L3" i="1"/>
  <c r="L5" i="1" s="1"/>
  <c r="M3" i="1"/>
  <c r="N3" i="1"/>
  <c r="O3" i="1"/>
  <c r="O5" i="1" s="1"/>
  <c r="P3" i="1"/>
  <c r="P5" i="1" s="1"/>
  <c r="Q3" i="1"/>
  <c r="R3" i="1"/>
  <c r="S3" i="1"/>
  <c r="S5" i="1" s="1"/>
  <c r="T3" i="1"/>
  <c r="T5" i="1" s="1"/>
  <c r="U3" i="1"/>
  <c r="V3" i="1"/>
  <c r="W3" i="1"/>
  <c r="W5" i="1" s="1"/>
  <c r="X3" i="1"/>
  <c r="X5" i="1" s="1"/>
  <c r="Y3" i="1"/>
  <c r="Z3" i="1"/>
  <c r="AA3" i="1"/>
  <c r="AA5" i="1" s="1"/>
  <c r="AB3" i="1"/>
  <c r="AB5" i="1" s="1"/>
  <c r="AC3" i="1"/>
  <c r="I5" i="1"/>
  <c r="J5" i="1"/>
  <c r="M5" i="1"/>
  <c r="N5" i="1"/>
  <c r="Q5" i="1"/>
  <c r="R5" i="1"/>
  <c r="U5" i="1"/>
  <c r="V5" i="1"/>
  <c r="Y5" i="1"/>
  <c r="Z5" i="1"/>
  <c r="AC5" i="1"/>
  <c r="H3" i="1"/>
  <c r="H5" i="1" s="1"/>
  <c r="G3" i="1"/>
  <c r="G5" i="1" s="1"/>
  <c r="F3" i="1"/>
  <c r="F5" i="1" s="1"/>
  <c r="E3" i="1"/>
  <c r="E5" i="1" s="1"/>
  <c r="D3" i="1"/>
  <c r="D5" i="1" s="1"/>
  <c r="C3" i="1"/>
  <c r="C5" i="1" s="1"/>
  <c r="X6" i="1" a="1"/>
  <c r="Q6" i="1" a="1"/>
  <c r="V4" i="1" a="1"/>
  <c r="Z9" i="1"/>
  <c r="H8" i="1"/>
  <c r="Z6" i="1" a="1"/>
  <c r="S6" i="1" a="1"/>
  <c r="N9" i="1"/>
  <c r="I7" i="1"/>
  <c r="F8" i="1"/>
  <c r="E9" i="1"/>
  <c r="T6" i="1" a="1"/>
  <c r="M6" i="1" a="1"/>
  <c r="V8" i="1"/>
  <c r="J9" i="1"/>
  <c r="H7" i="1"/>
  <c r="N6" i="1" a="1"/>
  <c r="E6" i="1" a="1"/>
  <c r="AG4" i="1" a="1"/>
  <c r="J4" i="1" a="1"/>
  <c r="G4" i="1" a="1"/>
  <c r="G7" i="1"/>
  <c r="AC7" i="1"/>
  <c r="C9" i="1"/>
  <c r="AH6" i="1" a="1"/>
  <c r="AG8" i="1"/>
  <c r="G9" i="1"/>
  <c r="C7" i="1"/>
  <c r="V6" i="1" a="1"/>
  <c r="N4" i="1" a="1"/>
  <c r="AF6" i="1" a="1"/>
  <c r="AE6" i="1" a="1"/>
  <c r="N7" i="1"/>
  <c r="H6" i="1" a="1"/>
  <c r="AG6" i="1" a="1"/>
  <c r="AG7" i="1"/>
  <c r="N8" i="1"/>
  <c r="F4" i="1" a="1"/>
  <c r="J6" i="1" a="1"/>
  <c r="G6" i="1" a="1"/>
  <c r="AF8" i="1"/>
  <c r="R8" i="1"/>
  <c r="H4" i="1" a="1"/>
  <c r="D9" i="1"/>
  <c r="D6" i="1" a="1"/>
  <c r="U6" i="1" a="1"/>
  <c r="AG9" i="1"/>
  <c r="V7" i="1"/>
  <c r="U7" i="1"/>
  <c r="H9" i="1"/>
  <c r="AD6" i="1" a="1"/>
  <c r="AA6" i="1" a="1"/>
  <c r="J7" i="1"/>
  <c r="M7" i="1"/>
  <c r="D8" i="1"/>
  <c r="E8" i="1"/>
  <c r="E4" i="1" a="1"/>
  <c r="Z7" i="1"/>
  <c r="F7" i="1"/>
  <c r="Q7" i="1"/>
  <c r="AB6" i="1" a="1"/>
  <c r="V9" i="1"/>
  <c r="E7" i="1"/>
  <c r="G8" i="1"/>
  <c r="P6" i="1" a="1"/>
  <c r="I6" i="1" a="1"/>
  <c r="AE7" i="1"/>
  <c r="R4" i="1" a="1"/>
  <c r="F9" i="1"/>
  <c r="R6" i="1" a="1"/>
  <c r="K6" i="1" a="1"/>
  <c r="J8" i="1"/>
  <c r="Z4" i="1" a="1"/>
  <c r="D7" i="1"/>
  <c r="C8" i="1"/>
  <c r="L6" i="1" a="1"/>
  <c r="Y6" i="1" a="1"/>
  <c r="AF4" i="1" a="1"/>
  <c r="Z8" i="1"/>
  <c r="F6" i="1" a="1"/>
  <c r="AC6" i="1" a="1"/>
  <c r="AF9" i="1"/>
  <c r="D4" i="1" a="1"/>
  <c r="R7" i="1"/>
  <c r="W6" i="1" a="1"/>
  <c r="Y7" i="1"/>
  <c r="O6" i="1" a="1"/>
  <c r="R9" i="1"/>
  <c r="C6" i="1" a="1"/>
  <c r="O8" i="2" l="1"/>
  <c r="O5" i="2" s="1"/>
  <c r="C12" i="2" s="1"/>
  <c r="AE6" i="1"/>
  <c r="AA6" i="1"/>
  <c r="W6" i="1"/>
  <c r="S6" i="1"/>
  <c r="Q6" i="1"/>
  <c r="O6" i="1"/>
  <c r="M6" i="1"/>
  <c r="K6" i="1"/>
  <c r="I6" i="1"/>
  <c r="E6" i="1"/>
  <c r="Y6" i="1"/>
  <c r="G6" i="1"/>
  <c r="AG6" i="1"/>
  <c r="AC6" i="1"/>
  <c r="U6" i="1"/>
  <c r="AH6" i="1"/>
  <c r="AF6" i="1"/>
  <c r="AD6" i="1"/>
  <c r="AB6" i="1"/>
  <c r="Z6" i="1"/>
  <c r="X6" i="1"/>
  <c r="V6" i="1"/>
  <c r="T6" i="1"/>
  <c r="R6" i="1"/>
  <c r="P6" i="1"/>
  <c r="N6" i="1"/>
  <c r="L6" i="1"/>
  <c r="J6" i="1"/>
  <c r="H6" i="1"/>
  <c r="F6" i="1"/>
  <c r="D6" i="1"/>
  <c r="AG4" i="1"/>
  <c r="AF4" i="1"/>
  <c r="Z4" i="1"/>
  <c r="R4" i="1"/>
  <c r="J4" i="1"/>
  <c r="V4" i="1"/>
  <c r="N4" i="1"/>
  <c r="G4" i="1"/>
  <c r="E4" i="1"/>
  <c r="H4" i="1"/>
  <c r="F4" i="1"/>
  <c r="D4" i="1"/>
  <c r="C6" i="1"/>
  <c r="H11" i="1"/>
  <c r="P11" i="1"/>
  <c r="F11" i="1"/>
  <c r="S10" i="1"/>
  <c r="AF7" i="1"/>
  <c r="S9" i="1"/>
  <c r="AB9" i="1"/>
  <c r="W7" i="1"/>
  <c r="Y8" i="1"/>
  <c r="AA4" i="1" a="1"/>
  <c r="AB11" i="1"/>
  <c r="W8" i="1"/>
  <c r="L4" i="1" a="1"/>
  <c r="AE11" i="1"/>
  <c r="V10" i="1"/>
  <c r="T11" i="1"/>
  <c r="AD8" i="1"/>
  <c r="T8" i="1"/>
  <c r="O7" i="1"/>
  <c r="AB4" i="1" a="1"/>
  <c r="N10" i="1"/>
  <c r="AD9" i="1"/>
  <c r="X11" i="1"/>
  <c r="AE8" i="1"/>
  <c r="AA11" i="1"/>
  <c r="Q11" i="1"/>
  <c r="AE10" i="1"/>
  <c r="AA10" i="1"/>
  <c r="AH9" i="1"/>
  <c r="AA9" i="1"/>
  <c r="P4" i="1" a="1"/>
  <c r="Q9" i="1"/>
  <c r="U8" i="1"/>
  <c r="L7" i="1"/>
  <c r="I11" i="1"/>
  <c r="F10" i="1"/>
  <c r="AE9" i="1"/>
  <c r="K9" i="1"/>
  <c r="T7" i="1"/>
  <c r="S8" i="1"/>
  <c r="Q4" i="1" a="1"/>
  <c r="X7" i="1"/>
  <c r="AD4" i="1" a="1"/>
  <c r="AC9" i="1"/>
  <c r="G11" i="1"/>
  <c r="H10" i="1"/>
  <c r="K10" i="1"/>
  <c r="AH4" i="1" a="1"/>
  <c r="X8" i="1"/>
  <c r="W4" i="1" a="1"/>
  <c r="O10" i="1"/>
  <c r="C16" i="2"/>
  <c r="X10" i="1"/>
  <c r="V11" i="1"/>
  <c r="AH8" i="1"/>
  <c r="P9" i="1"/>
  <c r="U4" i="1" a="1"/>
  <c r="AE4" i="1" a="1"/>
  <c r="E10" i="1"/>
  <c r="U11" i="1"/>
  <c r="T9" i="1"/>
  <c r="P7" i="1"/>
  <c r="D11" i="1"/>
  <c r="Z10" i="1"/>
  <c r="AA8" i="1"/>
  <c r="AD10" i="1"/>
  <c r="L9" i="1"/>
  <c r="O8" i="1"/>
  <c r="T4" i="1" a="1"/>
  <c r="K8" i="1"/>
  <c r="N11" i="1"/>
  <c r="L8" i="1"/>
  <c r="C14" i="2"/>
  <c r="AG10" i="1"/>
  <c r="I10" i="1"/>
  <c r="AC10" i="1"/>
  <c r="AB7" i="1"/>
  <c r="AC4" i="1" a="1"/>
  <c r="K7" i="1"/>
  <c r="S4" i="1" a="1"/>
  <c r="AD11" i="1"/>
  <c r="I4" i="1" a="1"/>
  <c r="AA7" i="1"/>
  <c r="AF10" i="1"/>
  <c r="AH7" i="1"/>
  <c r="O9" i="1"/>
  <c r="O4" i="1" a="1"/>
  <c r="Y4" i="1" a="1"/>
  <c r="X4" i="1" a="1"/>
  <c r="W9" i="1"/>
  <c r="I8" i="1"/>
  <c r="Q10" i="1"/>
  <c r="O11" i="1"/>
  <c r="Z11" i="1"/>
  <c r="AD7" i="1"/>
  <c r="Y9" i="1"/>
  <c r="M8" i="1"/>
  <c r="AC11" i="1"/>
  <c r="C15" i="2"/>
  <c r="AF11" i="1"/>
  <c r="T10" i="1"/>
  <c r="AB8" i="1"/>
  <c r="U9" i="1"/>
  <c r="I9" i="1"/>
  <c r="W10" i="1"/>
  <c r="K4" i="1" a="1"/>
  <c r="P10" i="1"/>
  <c r="R10" i="1"/>
  <c r="M4" i="1" a="1"/>
  <c r="X9" i="1"/>
  <c r="E11" i="1"/>
  <c r="P8" i="1"/>
  <c r="AG11" i="1"/>
  <c r="AB10" i="1"/>
  <c r="J11" i="1"/>
  <c r="M9" i="1"/>
  <c r="C13" i="2" a="1"/>
  <c r="S7" i="1"/>
  <c r="AC8" i="1"/>
  <c r="L10" i="1"/>
  <c r="Q8" i="1"/>
  <c r="S11" i="1"/>
  <c r="K11" i="1"/>
  <c r="G10" i="1"/>
  <c r="R11" i="1"/>
  <c r="W11" i="1"/>
  <c r="Y11" i="1"/>
  <c r="U10" i="1"/>
  <c r="D10" i="1"/>
  <c r="AH11" i="1"/>
  <c r="M10" i="1"/>
  <c r="L11" i="1"/>
  <c r="J10" i="1"/>
  <c r="C10" i="1"/>
  <c r="C13" i="2" l="1"/>
  <c r="AD4" i="1"/>
  <c r="AE4" i="1"/>
  <c r="AH4" i="1"/>
  <c r="Q4" i="1"/>
  <c r="X4" i="1"/>
  <c r="U4" i="1"/>
  <c r="AA4" i="1"/>
  <c r="S4" i="1"/>
  <c r="Y4" i="1"/>
  <c r="L4" i="1"/>
  <c r="T4" i="1"/>
  <c r="AB4" i="1"/>
  <c r="O4" i="1"/>
  <c r="P4" i="1"/>
  <c r="K4" i="1"/>
  <c r="W4" i="1"/>
  <c r="I4" i="1"/>
  <c r="M4" i="1"/>
  <c r="AC4" i="1"/>
  <c r="Y10" i="1"/>
  <c r="C17" i="2"/>
  <c r="C11" i="1"/>
  <c r="C18" i="2"/>
  <c r="M11" i="1"/>
  <c r="AH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<sst xmlns="http://schemas.openxmlformats.org/spreadsheetml/2006/main" count="94" uniqueCount="76">
  <si>
    <t>DV String</t>
  </si>
  <si>
    <t>EDID Checksum</t>
  </si>
  <si>
    <t>Max Lum</t>
  </si>
  <si>
    <t>Max Lum #</t>
  </si>
  <si>
    <t>Max Lum DVVal</t>
  </si>
  <si>
    <t>Patch 72C0</t>
  </si>
  <si>
    <t>Patch 72D0</t>
  </si>
  <si>
    <t>Patch 74A0</t>
  </si>
  <si>
    <t>Patch 8990</t>
  </si>
  <si>
    <t>Patch 8A90</t>
  </si>
  <si>
    <t>EB</t>
  </si>
  <si>
    <t>01</t>
  </si>
  <si>
    <t>D0</t>
  </si>
  <si>
    <t>00</t>
  </si>
  <si>
    <t>YUV 12-bit</t>
  </si>
  <si>
    <t>Backlight</t>
  </si>
  <si>
    <t>Version</t>
  </si>
  <si>
    <t>Reserved</t>
  </si>
  <si>
    <t>DM Version</t>
  </si>
  <si>
    <t>By[2:0]</t>
  </si>
  <si>
    <t>Bx[2:0]</t>
  </si>
  <si>
    <t>010</t>
  </si>
  <si>
    <t>001</t>
  </si>
  <si>
    <t>Standard Header</t>
  </si>
  <si>
    <t>Backlight
Ctrl</t>
  </si>
  <si>
    <t>Supported</t>
  </si>
  <si>
    <t>Not Supported</t>
  </si>
  <si>
    <t>3.x</t>
  </si>
  <si>
    <t>50 nits</t>
  </si>
  <si>
    <t>25 nits</t>
  </si>
  <si>
    <t>10b 444[0]</t>
  </si>
  <si>
    <t>12b 444[1]</t>
  </si>
  <si>
    <t>ML Val</t>
  </si>
  <si>
    <t>ML nits</t>
  </si>
  <si>
    <t>75 nits</t>
  </si>
  <si>
    <t>100 nits</t>
  </si>
  <si>
    <t>10</t>
  </si>
  <si>
    <t>11</t>
  </si>
  <si>
    <t>Disabled</t>
  </si>
  <si>
    <t>00000</t>
  </si>
  <si>
    <t>Color Space:</t>
  </si>
  <si>
    <t>value</t>
  </si>
  <si>
    <t>Mode</t>
  </si>
  <si>
    <t>Value</t>
  </si>
  <si>
    <t>LLDV</t>
  </si>
  <si>
    <t>LLDV + LLDV-HDMI</t>
  </si>
  <si>
    <t>DV Mode</t>
  </si>
  <si>
    <t>Std + LLDV</t>
  </si>
  <si>
    <t>Std + LLDV + LLDV-HDMI</t>
  </si>
  <si>
    <t>Global
Dimming</t>
  </si>
  <si>
    <t>Color Space</t>
  </si>
  <si>
    <t>BT709</t>
  </si>
  <si>
    <t>BT2020</t>
  </si>
  <si>
    <t>DCI-P3</t>
  </si>
  <si>
    <t>Rx</t>
  </si>
  <si>
    <t>Ry</t>
  </si>
  <si>
    <t>Gx</t>
  </si>
  <si>
    <t>Gy</t>
  </si>
  <si>
    <t>Bx</t>
  </si>
  <si>
    <t>By</t>
  </si>
  <si>
    <t>https://en.wikipedia.org/wiki/Rec._2020</t>
  </si>
  <si>
    <t>https://en.wikipedia.org/wiki/DCI-P3</t>
  </si>
  <si>
    <t>https://en.wikipedia.org/wiki/Rec._709</t>
  </si>
  <si>
    <t>Source</t>
  </si>
  <si>
    <t>Ry[4:0]</t>
  </si>
  <si>
    <t>Rx[4:0]</t>
  </si>
  <si>
    <t>Gy[6:0]</t>
  </si>
  <si>
    <t>Gx[6:0]</t>
  </si>
  <si>
    <t>Backlight
Min Lum</t>
  </si>
  <si>
    <t>Min Lum
Nits</t>
  </si>
  <si>
    <t>Max Lum
Nits</t>
  </si>
  <si>
    <t>Checksum</t>
  </si>
  <si>
    <t>Original FW</t>
  </si>
  <si>
    <t>Output FW</t>
  </si>
  <si>
    <t>c:\exes\gd32\EZ-SP12H2_APP_DFU_GD32_Ver2.06(FB4D).hex</t>
  </si>
  <si>
    <t>c:\exes\ez_dv_edid_fw\custom.hex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</si>
</sst>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horizontal="right"/>
    </xf>
    <xf numFmtId="1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Border="1"/>
    <xf numFmtId="0" fontId="0" fillId="2" borderId="0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2" fillId="2" borderId="3" xfId="0" quotePrefix="1" applyFont="1" applyFill="1" applyBorder="1" applyAlignment="1" applyProtection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6" xfId="0" quotePrefix="1" applyFill="1" applyBorder="1" applyAlignment="1" applyProtection="1">
      <alignment horizontal="center"/>
    </xf>
    <xf numFmtId="49" fontId="0" fillId="0" borderId="0" xfId="0" quotePrefix="1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quotePrefix="1" applyAlignment="1">
      <alignment horizontal="left"/>
    </xf>
    <xf numFmtId="0" fontId="0" fillId="0" borderId="20" xfId="0" applyBorder="1" applyAlignment="1" applyProtection="1">
      <alignment horizontal="center"/>
      <protection locked="0"/>
    </xf>
    <xf numFmtId="0" fontId="0" fillId="0" borderId="20" xfId="0" quotePrefix="1" applyBorder="1" applyAlignment="1" applyProtection="1">
      <alignment horizontal="center"/>
      <protection locked="0"/>
    </xf>
    <xf numFmtId="0" fontId="0" fillId="0" borderId="21" xfId="0" applyBorder="1" applyAlignment="1" applyProtection="1">
      <alignment horizontal="center"/>
      <protection locked="0"/>
    </xf>
    <xf numFmtId="0" fontId="0" fillId="2" borderId="17" xfId="0" quotePrefix="1" applyFill="1" applyBorder="1" applyAlignment="1" applyProtection="1">
      <alignment horizontal="center"/>
    </xf>
    <xf numFmtId="0" fontId="0" fillId="2" borderId="17" xfId="0" applyFont="1" applyFill="1" applyBorder="1" applyAlignment="1" applyProtection="1">
      <alignment horizontal="center"/>
    </xf>
    <xf numFmtId="0" fontId="0" fillId="2" borderId="18" xfId="0" applyFill="1" applyBorder="1" applyAlignment="1" applyProtection="1">
      <alignment horizontal="center"/>
    </xf>
    <xf numFmtId="0" fontId="0" fillId="2" borderId="24" xfId="0" applyFill="1" applyBorder="1" applyAlignment="1" applyProtection="1">
      <alignment horizontal="center"/>
    </xf>
    <xf numFmtId="0" fontId="0" fillId="2" borderId="23" xfId="0" applyFont="1" applyFill="1" applyBorder="1" applyAlignment="1" applyProtection="1">
      <alignment horizontal="center"/>
    </xf>
    <xf numFmtId="164" fontId="0" fillId="0" borderId="0" xfId="0" applyNumberFormat="1"/>
    <xf numFmtId="0" fontId="0" fillId="2" borderId="20" xfId="0" applyFill="1" applyBorder="1" applyAlignment="1" applyProtection="1">
      <alignment horizontal="center"/>
    </xf>
    <xf numFmtId="0" fontId="0" fillId="2" borderId="27" xfId="0" applyFill="1" applyBorder="1" applyAlignment="1" applyProtection="1">
      <alignment horizontal="center"/>
    </xf>
    <xf numFmtId="0" fontId="0" fillId="2" borderId="21" xfId="0" applyFill="1" applyBorder="1" applyAlignment="1" applyProtection="1">
      <alignment horizontal="center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0" fillId="2" borderId="28" xfId="0" applyFill="1" applyBorder="1" applyAlignment="1">
      <alignment horizontal="center"/>
    </xf>
    <xf numFmtId="0" fontId="0" fillId="2" borderId="17" xfId="0" applyFill="1" applyBorder="1" applyAlignment="1" applyProtection="1">
      <alignment horizontal="center"/>
    </xf>
    <xf numFmtId="0" fontId="0" fillId="2" borderId="16" xfId="0" applyFill="1" applyBorder="1" applyAlignment="1" applyProtection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 wrapText="1"/>
    </xf>
    <xf numFmtId="0" fontId="2" fillId="3" borderId="15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25" xfId="0" applyFont="1" applyFill="1" applyBorder="1"/>
    <xf numFmtId="0" fontId="0" fillId="0" borderId="22" xfId="0" applyBorder="1" applyAlignment="1" applyProtection="1">
      <alignment horizontal="center"/>
      <protection locked="0"/>
    </xf>
    <xf numFmtId="0" fontId="0" fillId="0" borderId="26" xfId="0" applyBorder="1" applyProtection="1">
      <protection locked="0"/>
    </xf>
    <xf numFmtId="0" fontId="2" fillId="3" borderId="11" xfId="0" quotePrefix="1" applyFont="1" applyFill="1" applyBorder="1" applyAlignment="1">
      <alignment horizontal="center"/>
    </xf>
    <xf numFmtId="0" fontId="2" fillId="3" borderId="12" xfId="0" quotePrefix="1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2" fillId="3" borderId="10" xfId="0" quotePrefix="1" applyFont="1" applyFill="1" applyBorder="1" applyAlignment="1">
      <alignment horizontal="center"/>
    </xf>
    <xf numFmtId="0" fontId="0" fillId="0" borderId="0" xfId="0" applyBorder="1" applyProtection="1">
      <protection locked="0"/>
    </xf>
  </cellXfs>
  <cellStyles count="1">
    <cellStyle name="Normal" xfId="0" builtinId="0"/>
  </cellStyles>
  <dxfs count="4">
    <dxf>
      <font>
        <color rgb="FFFF0000"/>
      </font>
      <fill>
        <patternFill>
          <bgColor rgb="FFFF0000"/>
        </patternFill>
      </fill>
    </dxf>
    <dxf>
      <font>
        <color theme="2" tint="-9.9948118533890809E-2"/>
      </font>
      <fill>
        <patternFill patternType="lightDown">
          <fgColor theme="1"/>
          <bgColor theme="2"/>
        </patternFill>
      </fill>
    </dxf>
    <dxf>
      <font>
        <color theme="2" tint="-9.9948118533890809E-2"/>
      </font>
      <fill>
        <patternFill patternType="lightDown">
          <bgColor theme="2"/>
        </patternFill>
      </fill>
    </dxf>
    <dxf>
      <font>
        <color theme="0" tint="-0.14996795556505021"/>
      </font>
      <fill>
        <patternFill patternType="lightDown">
          <fgColor theme="1"/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263347</xdr:colOff>
          <xdr:row>13</xdr:row>
          <xdr:rowOff>7315</xdr:rowOff>
        </xdr:from>
        <xdr:to>
          <xdr:col>3</xdr:col>
          <xdr:colOff>2991917</xdr:colOff>
          <xdr:row>16</xdr:row>
          <xdr:rowOff>95098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585216</xdr:colOff>
          <xdr:row>10</xdr:row>
          <xdr:rowOff>109728</xdr:rowOff>
        </xdr:from>
        <xdr:to>
          <xdr:col>13</xdr:col>
          <xdr:colOff>351130</xdr:colOff>
          <xdr:row>13</xdr:row>
          <xdr:rowOff>146304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5284-6C0D-44CD-BC9E-E0B50ABA496D}">
  <sheetPr codeName="Sheet1"/>
  <dimension ref="B2:AH45"/>
  <sheetViews>
    <sheetView workbookViewId="0">
      <selection activeCell="C30" sqref="C30"/>
    </sheetView>
  </sheetViews>
  <sheetFormatPr defaultRowHeight="14.4" x14ac:dyDescent="0.3"/>
  <cols>
    <col min="2" max="2" width="17.5" customWidth="1"/>
    <col min="3" max="8" width="44.3984375" customWidth="1"/>
  </cols>
  <sheetData>
    <row r="2" spans="2:34" x14ac:dyDescent="0.3">
      <c r="B2" t="s">
        <v>3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  <c r="O2">
        <v>12</v>
      </c>
      <c r="P2">
        <v>13</v>
      </c>
      <c r="Q2">
        <v>14</v>
      </c>
      <c r="R2">
        <v>15</v>
      </c>
      <c r="S2">
        <v>16</v>
      </c>
      <c r="T2">
        <v>17</v>
      </c>
      <c r="U2">
        <v>18</v>
      </c>
      <c r="V2">
        <v>19</v>
      </c>
      <c r="W2">
        <v>20</v>
      </c>
      <c r="X2">
        <v>21</v>
      </c>
      <c r="Y2">
        <v>22</v>
      </c>
      <c r="Z2">
        <v>23</v>
      </c>
      <c r="AA2">
        <v>24</v>
      </c>
      <c r="AB2">
        <v>25</v>
      </c>
      <c r="AC2">
        <v>26</v>
      </c>
      <c r="AD2">
        <v>27</v>
      </c>
      <c r="AE2">
        <v>28</v>
      </c>
      <c r="AF2">
        <v>29</v>
      </c>
      <c r="AG2">
        <v>30</v>
      </c>
      <c r="AH2">
        <v>31</v>
      </c>
    </row>
    <row r="3" spans="2:34" x14ac:dyDescent="0.3">
      <c r="B3" t="s">
        <v>4</v>
      </c>
      <c r="C3" s="5" t="str">
        <f>RIGHT("00" &amp; DEC2HEX((_xlfn.BITOR(_xlfn.BITLSHIFT(C$2,3),1))),2)</f>
        <v>01</v>
      </c>
      <c r="D3" s="5" t="str">
        <f>RIGHT("00" &amp; DEC2HEX((_xlfn.BITOR(_xlfn.BITLSHIFT(D$2,3),1))),2)</f>
        <v>09</v>
      </c>
      <c r="E3" s="5" t="str">
        <f>RIGHT("00" &amp; DEC2HEX((_xlfn.BITOR(_xlfn.BITLSHIFT(E$2,3),1))),2)</f>
        <v>11</v>
      </c>
      <c r="F3" s="5" t="str">
        <f t="shared" ref="F3:AH3" si="0">RIGHT("00" &amp; DEC2HEX((_xlfn.BITOR(_xlfn.BITLSHIFT(F$2,3),1))),2)</f>
        <v>19</v>
      </c>
      <c r="G3" s="5" t="str">
        <f t="shared" si="0"/>
        <v>21</v>
      </c>
      <c r="H3" s="5" t="str">
        <f t="shared" si="0"/>
        <v>29</v>
      </c>
      <c r="I3" s="5" t="str">
        <f t="shared" si="0"/>
        <v>31</v>
      </c>
      <c r="J3" s="5" t="str">
        <f t="shared" si="0"/>
        <v>39</v>
      </c>
      <c r="K3" s="5" t="str">
        <f t="shared" si="0"/>
        <v>41</v>
      </c>
      <c r="L3" s="5" t="str">
        <f t="shared" si="0"/>
        <v>49</v>
      </c>
      <c r="M3" s="5" t="str">
        <f t="shared" si="0"/>
        <v>51</v>
      </c>
      <c r="N3" s="5" t="str">
        <f t="shared" si="0"/>
        <v>59</v>
      </c>
      <c r="O3" s="5" t="str">
        <f t="shared" si="0"/>
        <v>61</v>
      </c>
      <c r="P3" s="5" t="str">
        <f t="shared" si="0"/>
        <v>69</v>
      </c>
      <c r="Q3" s="5" t="str">
        <f t="shared" si="0"/>
        <v>71</v>
      </c>
      <c r="R3" s="5" t="str">
        <f t="shared" si="0"/>
        <v>79</v>
      </c>
      <c r="S3" s="5" t="str">
        <f t="shared" si="0"/>
        <v>81</v>
      </c>
      <c r="T3" s="5" t="str">
        <f t="shared" si="0"/>
        <v>89</v>
      </c>
      <c r="U3" s="5" t="str">
        <f t="shared" si="0"/>
        <v>91</v>
      </c>
      <c r="V3" s="5" t="str">
        <f t="shared" si="0"/>
        <v>99</v>
      </c>
      <c r="W3" s="5" t="str">
        <f t="shared" si="0"/>
        <v>A1</v>
      </c>
      <c r="X3" s="5" t="str">
        <f t="shared" si="0"/>
        <v>A9</v>
      </c>
      <c r="Y3" s="5" t="str">
        <f t="shared" si="0"/>
        <v>B1</v>
      </c>
      <c r="Z3" s="5" t="str">
        <f t="shared" si="0"/>
        <v>B9</v>
      </c>
      <c r="AA3" s="5" t="str">
        <f t="shared" si="0"/>
        <v>C1</v>
      </c>
      <c r="AB3" s="5" t="str">
        <f t="shared" si="0"/>
        <v>C9</v>
      </c>
      <c r="AC3" s="5" t="str">
        <f t="shared" si="0"/>
        <v>D1</v>
      </c>
      <c r="AD3" s="5" t="str">
        <f t="shared" si="0"/>
        <v>D9</v>
      </c>
      <c r="AE3" s="5" t="str">
        <f t="shared" si="0"/>
        <v>E1</v>
      </c>
      <c r="AF3" s="5" t="str">
        <f t="shared" si="0"/>
        <v>E9</v>
      </c>
      <c r="AG3" s="5" t="str">
        <f t="shared" si="0"/>
        <v>F1</v>
      </c>
      <c r="AH3" s="5" t="str">
        <f t="shared" si="0"/>
        <v>F9</v>
      </c>
    </row>
    <row r="4" spans="2:34" x14ac:dyDescent="0.3">
      <c r="B4" t="s">
        <v>2</v>
      </c>
      <c r="C4" s="4" cm="1">
        <f t="array" ref="C4">PQ2nits((2055+65*(_xlfn.BITRSHIFT(HEX2DEC(MID(C5,15,2)),3)))/(2055+31*65))</f>
        <v>96.892947435897241</v>
      </c>
      <c r="D4" s="4" cm="1">
        <f t="array" ref="D4">PQ2nits((2055+65*(_xlfn.BITRSHIFT(HEX2DEC(MID(D5,15,2)),3)))/(2055+31*65))</f>
        <v>113.54849272653058</v>
      </c>
      <c r="E4" s="4" cm="1">
        <f t="array" ref="E4">PQ2nits((2055+65*(_xlfn.BITRSHIFT(HEX2DEC(MID(E5,15,2)),3)))/(2055+31*65))</f>
        <v>132.85537796729577</v>
      </c>
      <c r="F4" s="4" cm="1">
        <f t="array" ref="F4">PQ2nits((2055+65*(_xlfn.BITRSHIFT(HEX2DEC(MID(F5,15,2)),3)))/(2055+31*65))</f>
        <v>155.21994460137429</v>
      </c>
      <c r="G4" s="4" cm="1">
        <f t="array" ref="G4">PQ2nits((2055+65*(_xlfn.BITRSHIFT(HEX2DEC(MID(G5,15,2)),3)))/(2055+31*65))</f>
        <v>181.11079810347903</v>
      </c>
      <c r="H4" s="4" cm="1">
        <f t="array" ref="H4">PQ2nits((2055+65*(_xlfn.BITRSHIFT(HEX2DEC(MID(H5,15,2)),3)))/(2055+31*65))</f>
        <v>211.06861673067306</v>
      </c>
      <c r="I4" s="4" cm="1">
        <f t="array" ref="I4">PQ2nits((2055+65*(_xlfn.BITRSHIFT(HEX2DEC(MID(I5,15,2)),3)))/(2055+31*65))</f>
        <v>245.71757619655023</v>
      </c>
      <c r="J4" s="4" cm="1">
        <f t="array" ref="J4">PQ2nits((2055+65*(_xlfn.BITRSHIFT(HEX2DEC(MID(J5,15,2)),3)))/(2055+31*65))</f>
        <v>285.77867132456396</v>
      </c>
      <c r="K4" s="4" cm="1">
        <f t="array" ref="K4">PQ2nits((2055+65*(_xlfn.BITRSHIFT(HEX2DEC(MID(K5,15,2)),3)))/(2055+31*65))</f>
        <v>332.08526759956629</v>
      </c>
      <c r="L4" s="4" cm="1">
        <f t="array" ref="L4">PQ2nits((2055+65*(_xlfn.BITRSHIFT(HEX2DEC(MID(L5,15,2)),3)))/(2055+31*65))</f>
        <v>385.60127757797198</v>
      </c>
      <c r="M4" s="4" cm="1">
        <f t="array" ref="M4">PQ2nits((2055+65*(_xlfn.BITRSHIFT(HEX2DEC(MID(M5,15,2)),3)))/(2055+31*65))</f>
        <v>447.44243145789636</v>
      </c>
      <c r="N4" s="4" cm="1">
        <f t="array" ref="N4">PQ2nits((2055+65*(_xlfn.BITRSHIFT(HEX2DEC(MID(N5,15,2)),3)))/(2055+31*65))</f>
        <v>518.90120035135783</v>
      </c>
      <c r="O4" s="4" cm="1">
        <f t="array" ref="O4">PQ2nits((2055+65*(_xlfn.BITRSHIFT(HEX2DEC(MID(O5,15,2)),3)))/(2055+31*65))</f>
        <v>601.47603811806903</v>
      </c>
      <c r="P4" s="4" cm="1">
        <f t="array" ref="P4">PQ2nits((2055+65*(_xlfn.BITRSHIFT(HEX2DEC(MID(P5,15,2)),3)))/(2055+31*65))</f>
        <v>696.90573691813393</v>
      </c>
      <c r="Q4" s="4" cm="1">
        <f t="array" ref="Q4">PQ2nits((2055+65*(_xlfn.BITRSHIFT(HEX2DEC(MID(Q5,15,2)),3)))/(2055+31*65))</f>
        <v>807.20984771936151</v>
      </c>
      <c r="R4" s="4" cm="1">
        <f t="array" ref="R4">PQ2nits((2055+65*(_xlfn.BITRSHIFT(HEX2DEC(MID(R5,15,2)),3)))/(2055+31*65))</f>
        <v>934.73630576927678</v>
      </c>
      <c r="S4" s="4" cm="1">
        <f t="array" ref="S4">PQ2nits((2055+65*(_xlfn.BITRSHIFT(HEX2DEC(MID(S5,15,2)),3)))/(2055+31*65))</f>
        <v>1082.2176298226216</v>
      </c>
      <c r="T4" s="4" cm="1">
        <f t="array" ref="T4">PQ2nits((2055+65*(_xlfn.BITRSHIFT(HEX2DEC(MID(T5,15,2)),3)))/(2055+31*65))</f>
        <v>1252.8373417551975</v>
      </c>
      <c r="U4" s="4" cm="1">
        <f t="array" ref="U4">PQ2nits((2055+65*(_xlfn.BITRSHIFT(HEX2DEC(MID(U5,15,2)),3)))/(2055+31*65))</f>
        <v>1450.3085913304442</v>
      </c>
      <c r="V4" s="4" cm="1">
        <f t="array" ref="V4">PQ2nits((2055+65*(_xlfn.BITRSHIFT(HEX2DEC(MID(V5,15,2)),3)))/(2055+31*65))</f>
        <v>1678.9673833059749</v>
      </c>
      <c r="W4" s="4" cm="1">
        <f t="array" ref="W4">PQ2nits((2055+65*(_xlfn.BITRSHIFT(HEX2DEC(MID(W5,15,2)),3)))/(2055+31*65))</f>
        <v>1943.8833082164776</v>
      </c>
      <c r="X4" s="4" cm="1">
        <f t="array" ref="X4">PQ2nits((2055+65*(_xlfn.BITRSHIFT(HEX2DEC(MID(X5,15,2)),3)))/(2055+31*65))</f>
        <v>2250.9912958813088</v>
      </c>
      <c r="Y4" s="4" cm="1">
        <f t="array" ref="Y4">PQ2nits((2055+65*(_xlfn.BITRSHIFT(HEX2DEC(MID(Y5,15,2)),3)))/(2055+31*65))</f>
        <v>2607.2486693335695</v>
      </c>
      <c r="Z4" s="4" cm="1">
        <f t="array" ref="Z4">PQ2nits((2055+65*(_xlfn.BITRSHIFT(HEX2DEC(MID(Z5,15,2)),3)))/(2055+31*65))</f>
        <v>3020.8227108925894</v>
      </c>
      <c r="AA4" s="4" cm="1">
        <f t="array" ref="AA4">PQ2nits((2055+65*(_xlfn.BITRSHIFT(HEX2DEC(MID(AA5,15,2)),3)))/(2055+31*65))</f>
        <v>3501.3151049329572</v>
      </c>
      <c r="AB4" s="4" cm="1">
        <f t="array" ref="AB4">PQ2nits((2055+65*(_xlfn.BITRSHIFT(HEX2DEC(MID(AB5,15,2)),3)))/(2055+31*65))</f>
        <v>4060.0310484963115</v>
      </c>
      <c r="AC4" s="4" cm="1">
        <f t="array" ref="AC4">PQ2nits((2055+65*(_xlfn.BITRSHIFT(HEX2DEC(MID(AC5,15,2)),3)))/(2055+31*65))</f>
        <v>4710.3025909539483</v>
      </c>
      <c r="AD4" s="4" cm="1">
        <f t="array" ref="AD4">PQ2nits((2055+65*(_xlfn.BITRSHIFT(HEX2DEC(MID(AD5,15,2)),3)))/(2055+31*65))</f>
        <v>5467.8779662038578</v>
      </c>
      <c r="AE4" s="4" cm="1">
        <f t="array" ref="AE4">PQ2nits((2055+65*(_xlfn.BITRSHIFT(HEX2DEC(MID(AE5,15,2)),3)))/(2055+31*65))</f>
        <v>6351.3914286654081</v>
      </c>
      <c r="AF4" s="4" cm="1">
        <f t="array" ref="AF4">PQ2nits((2055+65*(_xlfn.BITRSHIFT(HEX2DEC(MID(AF5,15,2)),3)))/(2055+31*65))</f>
        <v>7382.9315427440533</v>
      </c>
      <c r="AG4" s="4" cm="1">
        <f t="array" ref="AG4">PQ2nits((2055+65*(_xlfn.BITRSHIFT(HEX2DEC(MID(AG5,15,2)),3)))/(2055+31*65))</f>
        <v>8588.7301910478836</v>
      </c>
      <c r="AH4" s="4" cm="1">
        <f t="array" ref="AH4">PQ2nits((2055+65*(_xlfn.BITRSHIFT(HEX2DEC(MID(AH5,15,2)),3)))/(2055+31*65))</f>
        <v>10000</v>
      </c>
    </row>
    <row r="5" spans="2:34" x14ac:dyDescent="0.3">
      <c r="B5" s="1" t="s">
        <v>0</v>
      </c>
      <c r="C5" s="3" t="str">
        <f>_xlfn.CONCAT("EB0146D0004507",C$3,"5798A953")</f>
        <v>EB0146D0004507015798A953</v>
      </c>
      <c r="D5" s="3" t="str">
        <f>_xlfn.CONCAT("EB0146D0004507",D$3,"5798A953")</f>
        <v>EB0146D0004507095798A953</v>
      </c>
      <c r="E5" s="3" t="str">
        <f>_xlfn.CONCAT("EB0146D0004507",E$3,"5798A953")</f>
        <v>EB0146D0004507115798A953</v>
      </c>
      <c r="F5" s="3" t="str">
        <f t="shared" ref="F5:AH5" si="1">_xlfn.CONCAT("EB0146D0004507",F$3,"5798A953")</f>
        <v>EB0146D0004507195798A953</v>
      </c>
      <c r="G5" s="3" t="str">
        <f t="shared" si="1"/>
        <v>EB0146D0004507215798A953</v>
      </c>
      <c r="H5" s="3" t="str">
        <f t="shared" si="1"/>
        <v>EB0146D0004507295798A953</v>
      </c>
      <c r="I5" s="3" t="str">
        <f t="shared" si="1"/>
        <v>EB0146D0004507315798A953</v>
      </c>
      <c r="J5" s="3" t="str">
        <f t="shared" si="1"/>
        <v>EB0146D0004507395798A953</v>
      </c>
      <c r="K5" s="3" t="str">
        <f t="shared" si="1"/>
        <v>EB0146D0004507415798A953</v>
      </c>
      <c r="L5" s="3" t="str">
        <f t="shared" si="1"/>
        <v>EB0146D0004507495798A953</v>
      </c>
      <c r="M5" s="3" t="str">
        <f t="shared" si="1"/>
        <v>EB0146D0004507515798A953</v>
      </c>
      <c r="N5" s="3" t="str">
        <f t="shared" si="1"/>
        <v>EB0146D0004507595798A953</v>
      </c>
      <c r="O5" s="3" t="str">
        <f t="shared" si="1"/>
        <v>EB0146D0004507615798A953</v>
      </c>
      <c r="P5" s="3" t="str">
        <f t="shared" si="1"/>
        <v>EB0146D0004507695798A953</v>
      </c>
      <c r="Q5" s="3" t="str">
        <f t="shared" si="1"/>
        <v>EB0146D0004507715798A953</v>
      </c>
      <c r="R5" s="3" t="str">
        <f t="shared" si="1"/>
        <v>EB0146D0004507795798A953</v>
      </c>
      <c r="S5" s="3" t="str">
        <f t="shared" si="1"/>
        <v>EB0146D0004507815798A953</v>
      </c>
      <c r="T5" s="3" t="str">
        <f t="shared" si="1"/>
        <v>EB0146D0004507895798A953</v>
      </c>
      <c r="U5" s="3" t="str">
        <f t="shared" si="1"/>
        <v>EB0146D0004507915798A953</v>
      </c>
      <c r="V5" s="3" t="str">
        <f t="shared" si="1"/>
        <v>EB0146D0004507995798A953</v>
      </c>
      <c r="W5" s="3" t="str">
        <f t="shared" si="1"/>
        <v>EB0146D0004507A15798A953</v>
      </c>
      <c r="X5" s="3" t="str">
        <f t="shared" si="1"/>
        <v>EB0146D0004507A95798A953</v>
      </c>
      <c r="Y5" s="3" t="str">
        <f t="shared" si="1"/>
        <v>EB0146D0004507B15798A953</v>
      </c>
      <c r="Z5" s="3" t="str">
        <f t="shared" si="1"/>
        <v>EB0146D0004507B95798A953</v>
      </c>
      <c r="AA5" s="3" t="str">
        <f t="shared" si="1"/>
        <v>EB0146D0004507C15798A953</v>
      </c>
      <c r="AB5" s="3" t="str">
        <f t="shared" si="1"/>
        <v>EB0146D0004507C95798A953</v>
      </c>
      <c r="AC5" s="3" t="str">
        <f t="shared" si="1"/>
        <v>EB0146D0004507D15798A953</v>
      </c>
      <c r="AD5" s="3" t="str">
        <f t="shared" si="1"/>
        <v>EB0146D0004507D95798A953</v>
      </c>
      <c r="AE5" s="3" t="str">
        <f t="shared" si="1"/>
        <v>EB0146D0004507E15798A953</v>
      </c>
      <c r="AF5" s="3" t="str">
        <f t="shared" si="1"/>
        <v>EB0146D0004507E95798A953</v>
      </c>
      <c r="AG5" s="3" t="str">
        <f t="shared" si="1"/>
        <v>EB0146D0004507F15798A953</v>
      </c>
      <c r="AH5" s="3" t="str">
        <f t="shared" si="1"/>
        <v>EB0146D0004507F95798A953</v>
      </c>
    </row>
    <row r="6" spans="2:34" x14ac:dyDescent="0.3">
      <c r="B6" s="1" t="s">
        <v>1</v>
      </c>
      <c r="C6" s="3" t="str" cm="1">
        <f t="array" ref="C6">EDIDCheckSum(C5)</f>
        <v>A0</v>
      </c>
      <c r="D6" s="3" t="str" cm="1">
        <f t="array" ref="D6">EDIDCheckSum(D5)</f>
        <v>98</v>
      </c>
      <c r="E6" s="3" t="str" cm="1">
        <f t="array" ref="E6">EDIDCheckSum(E5)</f>
        <v>90</v>
      </c>
      <c r="F6" s="3" t="str" cm="1">
        <f t="array" ref="F6">EDIDCheckSum(F5)</f>
        <v>88</v>
      </c>
      <c r="G6" s="3" t="str" cm="1">
        <f t="array" ref="G6">EDIDCheckSum(G5)</f>
        <v>80</v>
      </c>
      <c r="H6" s="3" t="str" cm="1">
        <f t="array" ref="H6">EDIDCheckSum(H5)</f>
        <v>78</v>
      </c>
      <c r="I6" s="3" t="str" cm="1">
        <f t="array" ref="I6">EDIDCheckSum(I5)</f>
        <v>70</v>
      </c>
      <c r="J6" s="3" t="str" cm="1">
        <f t="array" ref="J6">EDIDCheckSum(J5)</f>
        <v>68</v>
      </c>
      <c r="K6" s="3" t="str" cm="1">
        <f t="array" ref="K6">EDIDCheckSum(K5)</f>
        <v>60</v>
      </c>
      <c r="L6" s="3" t="str" cm="1">
        <f t="array" ref="L6">EDIDCheckSum(L5)</f>
        <v>58</v>
      </c>
      <c r="M6" s="3" t="str" cm="1">
        <f t="array" ref="M6">EDIDCheckSum(M5)</f>
        <v>50</v>
      </c>
      <c r="N6" s="3" t="str" cm="1">
        <f t="array" ref="N6">EDIDCheckSum(N5)</f>
        <v>48</v>
      </c>
      <c r="O6" s="3" t="str" cm="1">
        <f t="array" ref="O6">EDIDCheckSum(O5)</f>
        <v>40</v>
      </c>
      <c r="P6" s="3" t="str" cm="1">
        <f t="array" ref="P6">EDIDCheckSum(P5)</f>
        <v>38</v>
      </c>
      <c r="Q6" s="3" t="str" cm="1">
        <f t="array" ref="Q6">EDIDCheckSum(Q5)</f>
        <v>30</v>
      </c>
      <c r="R6" s="3" t="str" cm="1">
        <f t="array" ref="R6">EDIDCheckSum(R5)</f>
        <v>28</v>
      </c>
      <c r="S6" s="3" t="str" cm="1">
        <f t="array" ref="S6">EDIDCheckSum(S5)</f>
        <v>20</v>
      </c>
      <c r="T6" s="3" t="str" cm="1">
        <f t="array" ref="T6">EDIDCheckSum(T5)</f>
        <v>18</v>
      </c>
      <c r="U6" s="3" t="str" cm="1">
        <f t="array" ref="U6">EDIDCheckSum(U5)</f>
        <v>10</v>
      </c>
      <c r="V6" s="3" t="str" cm="1">
        <f t="array" ref="V6">EDIDCheckSum(V5)</f>
        <v>08</v>
      </c>
      <c r="W6" s="3" t="str" cm="1">
        <f t="array" ref="W6">EDIDCheckSum(W5)</f>
        <v>00</v>
      </c>
      <c r="X6" s="3" t="str" cm="1">
        <f t="array" ref="X6">EDIDCheckSum(X5)</f>
        <v>F8</v>
      </c>
      <c r="Y6" s="3" t="str" cm="1">
        <f t="array" ref="Y6">EDIDCheckSum(Y5)</f>
        <v>F0</v>
      </c>
      <c r="Z6" s="3" t="str" cm="1">
        <f t="array" ref="Z6">EDIDCheckSum(Z5)</f>
        <v>E8</v>
      </c>
      <c r="AA6" s="3" t="str" cm="1">
        <f t="array" ref="AA6">EDIDCheckSum(AA5)</f>
        <v>E0</v>
      </c>
      <c r="AB6" s="3" t="str" cm="1">
        <f t="array" ref="AB6">EDIDCheckSum(AB5)</f>
        <v>D8</v>
      </c>
      <c r="AC6" s="3" t="str" cm="1">
        <f t="array" ref="AC6">EDIDCheckSum(AC5)</f>
        <v>D0</v>
      </c>
      <c r="AD6" s="3" t="str" cm="1">
        <f t="array" ref="AD6">EDIDCheckSum(AD5)</f>
        <v>C8</v>
      </c>
      <c r="AE6" s="3" t="str" cm="1">
        <f t="array" ref="AE6">EDIDCheckSum(AE5)</f>
        <v>C0</v>
      </c>
      <c r="AF6" s="3" t="str" cm="1">
        <f t="array" ref="AF6">EDIDCheckSum(AF5)</f>
        <v>B8</v>
      </c>
      <c r="AG6" s="3" t="str" cm="1">
        <f t="array" ref="AG6">EDIDCheckSum(AG5)</f>
        <v>B0</v>
      </c>
      <c r="AH6" s="3" t="str" cm="1">
        <f t="array" ref="AH6">EDIDCheckSum(AH5)</f>
        <v>A8</v>
      </c>
    </row>
    <row r="7" spans="2:34" x14ac:dyDescent="0.3">
      <c r="B7" s="1" t="s">
        <v>5</v>
      </c>
      <c r="C7" s="1" t="str">
        <f>_xlfn.CONCAT(":1072C000024600207047",LEFT(C$5,20),IntelHexChecksum(_xlfn.CONCAT("1072C000024600207047",LEFT(C$5,20))))</f>
        <v>:1072C000024600207047EB0146D000450701579861</v>
      </c>
      <c r="D7" s="1" t="str">
        <f t="shared" ref="D7:AH7" si="2">_xlfn.CONCAT(":1072C000024600207047",LEFT(D$5,20),IntelHexChecksum(_xlfn.CONCAT("1072C000024600207047",LEFT(D$5,20))))</f>
        <v>:1072C000024600207047EB0146D000450709579859</v>
      </c>
      <c r="E7" s="1" t="str">
        <f t="shared" si="2"/>
        <v>:1072C000024600207047EB0146D000450711579851</v>
      </c>
      <c r="F7" s="1" t="str">
        <f t="shared" si="2"/>
        <v>:1072C000024600207047EB0146D000450719579849</v>
      </c>
      <c r="G7" s="1" t="str">
        <f t="shared" si="2"/>
        <v>:1072C000024600207047EB0146D000450721579841</v>
      </c>
      <c r="H7" s="1" t="str">
        <f t="shared" si="2"/>
        <v>:1072C000024600207047EB0146D000450729579839</v>
      </c>
      <c r="I7" s="1" t="str">
        <f t="shared" si="2"/>
        <v>:1072C000024600207047EB0146D000450731579831</v>
      </c>
      <c r="J7" s="1" t="str">
        <f t="shared" si="2"/>
        <v>:1072C000024600207047EB0146D000450739579829</v>
      </c>
      <c r="K7" s="1" t="str">
        <f t="shared" si="2"/>
        <v>:1072C000024600207047EB0146D000450741579821</v>
      </c>
      <c r="L7" s="1" t="str">
        <f t="shared" si="2"/>
        <v>:1072C000024600207047EB0146D000450749579819</v>
      </c>
      <c r="M7" s="1" t="str">
        <f t="shared" si="2"/>
        <v>:1072C000024600207047EB0146D000450751579811</v>
      </c>
      <c r="N7" s="1" t="str">
        <f t="shared" si="2"/>
        <v>:1072C000024600207047EB0146D000450759579809</v>
      </c>
      <c r="O7" s="1" t="str">
        <f t="shared" si="2"/>
        <v>:1072C000024600207047EB0146D000450761579801</v>
      </c>
      <c r="P7" s="1" t="str">
        <f t="shared" si="2"/>
        <v>:1072C000024600207047EB0146D0004507695798F9</v>
      </c>
      <c r="Q7" s="1" t="str">
        <f t="shared" si="2"/>
        <v>:1072C000024600207047EB0146D0004507715798F1</v>
      </c>
      <c r="R7" s="1" t="str">
        <f t="shared" si="2"/>
        <v>:1072C000024600207047EB0146D0004507795798E9</v>
      </c>
      <c r="S7" s="1" t="str">
        <f t="shared" si="2"/>
        <v>:1072C000024600207047EB0146D0004507815798E1</v>
      </c>
      <c r="T7" s="1" t="str">
        <f t="shared" si="2"/>
        <v>:1072C000024600207047EB0146D0004507895798D9</v>
      </c>
      <c r="U7" s="1" t="str">
        <f t="shared" si="2"/>
        <v>:1072C000024600207047EB0146D0004507915798D1</v>
      </c>
      <c r="V7" s="1" t="str">
        <f t="shared" si="2"/>
        <v>:1072C000024600207047EB0146D0004507995798C9</v>
      </c>
      <c r="W7" s="1" t="str">
        <f t="shared" si="2"/>
        <v>:1072C000024600207047EB0146D0004507A15798C1</v>
      </c>
      <c r="X7" s="1" t="str">
        <f t="shared" si="2"/>
        <v>:1072C000024600207047EB0146D0004507A95798B9</v>
      </c>
      <c r="Y7" s="1" t="str">
        <f t="shared" si="2"/>
        <v>:1072C000024600207047EB0146D0004507B15798B1</v>
      </c>
      <c r="Z7" s="1" t="str">
        <f t="shared" si="2"/>
        <v>:1072C000024600207047EB0146D0004507B95798A9</v>
      </c>
      <c r="AA7" s="1" t="str">
        <f t="shared" si="2"/>
        <v>:1072C000024600207047EB0146D0004507C15798A1</v>
      </c>
      <c r="AB7" s="1" t="str">
        <f t="shared" si="2"/>
        <v>:1072C000024600207047EB0146D0004507C9579899</v>
      </c>
      <c r="AC7" s="1" t="str">
        <f t="shared" si="2"/>
        <v>:1072C000024600207047EB0146D0004507D1579891</v>
      </c>
      <c r="AD7" s="1" t="str">
        <f t="shared" si="2"/>
        <v>:1072C000024600207047EB0146D0004507D9579889</v>
      </c>
      <c r="AE7" s="1" t="str">
        <f t="shared" si="2"/>
        <v>:1072C000024600207047EB0146D0004507E1579881</v>
      </c>
      <c r="AF7" s="1" t="str">
        <f t="shared" si="2"/>
        <v>:1072C000024600207047EB0146D0004507E9579879</v>
      </c>
      <c r="AG7" s="1" t="str">
        <f t="shared" si="2"/>
        <v>:1072C000024600207047EB0146D0004507F1579871</v>
      </c>
      <c r="AH7" s="1" t="str">
        <f t="shared" si="2"/>
        <v>:1072C000024600207047EB0146D0004507F9579869</v>
      </c>
    </row>
    <row r="8" spans="2:34" x14ac:dyDescent="0.3">
      <c r="B8" s="1" t="s">
        <v>6</v>
      </c>
      <c r="C8" s="1" t="str">
        <f>_xlfn.CONCAT(":1072D000",RIGHT(C$5,4),"00FFFFFFFFFFFF004C2D010C0100",IntelHexChecksum(_xlfn.CONCAT("1072D000",RIGHT(C$5,4),"00FFFFFFFFFFFF004C2D010C0100")))</f>
        <v>:1072D000A95300FFFFFFFFFFFF004C2D010C010031</v>
      </c>
      <c r="D8" s="1" t="str">
        <f t="shared" ref="D8:AH8" si="3">_xlfn.CONCAT(":1072D000",RIGHT(D$5,4),"00FFFFFFFFFFFF004C2D010C0100",IntelHexChecksum(_xlfn.CONCAT("1072D000",RIGHT(D$5,4),"00FFFFFFFFFFFF004C2D010C0100")))</f>
        <v>:1072D000A95300FFFFFFFFFFFF004C2D010C010031</v>
      </c>
      <c r="E8" s="1" t="str">
        <f t="shared" si="3"/>
        <v>:1072D000A95300FFFFFFFFFFFF004C2D010C010031</v>
      </c>
      <c r="F8" s="1" t="str">
        <f t="shared" si="3"/>
        <v>:1072D000A95300FFFFFFFFFFFF004C2D010C010031</v>
      </c>
      <c r="G8" s="1" t="str">
        <f t="shared" si="3"/>
        <v>:1072D000A95300FFFFFFFFFFFF004C2D010C010031</v>
      </c>
      <c r="H8" s="1" t="str">
        <f t="shared" si="3"/>
        <v>:1072D000A95300FFFFFFFFFFFF004C2D010C010031</v>
      </c>
      <c r="I8" s="1" t="str">
        <f t="shared" si="3"/>
        <v>:1072D000A95300FFFFFFFFFFFF004C2D010C010031</v>
      </c>
      <c r="J8" s="1" t="str">
        <f t="shared" si="3"/>
        <v>:1072D000A95300FFFFFFFFFFFF004C2D010C010031</v>
      </c>
      <c r="K8" s="1" t="str">
        <f t="shared" si="3"/>
        <v>:1072D000A95300FFFFFFFFFFFF004C2D010C010031</v>
      </c>
      <c r="L8" s="1" t="str">
        <f t="shared" si="3"/>
        <v>:1072D000A95300FFFFFFFFFFFF004C2D010C010031</v>
      </c>
      <c r="M8" s="1" t="str">
        <f t="shared" si="3"/>
        <v>:1072D000A95300FFFFFFFFFFFF004C2D010C010031</v>
      </c>
      <c r="N8" s="1" t="str">
        <f t="shared" si="3"/>
        <v>:1072D000A95300FFFFFFFFFFFF004C2D010C010031</v>
      </c>
      <c r="O8" s="1" t="str">
        <f t="shared" si="3"/>
        <v>:1072D000A95300FFFFFFFFFFFF004C2D010C010031</v>
      </c>
      <c r="P8" s="1" t="str">
        <f t="shared" si="3"/>
        <v>:1072D000A95300FFFFFFFFFFFF004C2D010C010031</v>
      </c>
      <c r="Q8" s="1" t="str">
        <f t="shared" si="3"/>
        <v>:1072D000A95300FFFFFFFFFFFF004C2D010C010031</v>
      </c>
      <c r="R8" s="1" t="str">
        <f t="shared" si="3"/>
        <v>:1072D000A95300FFFFFFFFFFFF004C2D010C010031</v>
      </c>
      <c r="S8" s="1" t="str">
        <f t="shared" si="3"/>
        <v>:1072D000A95300FFFFFFFFFFFF004C2D010C010031</v>
      </c>
      <c r="T8" s="1" t="str">
        <f t="shared" si="3"/>
        <v>:1072D000A95300FFFFFFFFFFFF004C2D010C010031</v>
      </c>
      <c r="U8" s="1" t="str">
        <f t="shared" si="3"/>
        <v>:1072D000A95300FFFFFFFFFFFF004C2D010C010031</v>
      </c>
      <c r="V8" s="1" t="str">
        <f t="shared" si="3"/>
        <v>:1072D000A95300FFFFFFFFFFFF004C2D010C010031</v>
      </c>
      <c r="W8" s="1" t="str">
        <f t="shared" si="3"/>
        <v>:1072D000A95300FFFFFFFFFFFF004C2D010C010031</v>
      </c>
      <c r="X8" s="1" t="str">
        <f t="shared" si="3"/>
        <v>:1072D000A95300FFFFFFFFFFFF004C2D010C010031</v>
      </c>
      <c r="Y8" s="1" t="str">
        <f t="shared" si="3"/>
        <v>:1072D000A95300FFFFFFFFFFFF004C2D010C010031</v>
      </c>
      <c r="Z8" s="1" t="str">
        <f t="shared" si="3"/>
        <v>:1072D000A95300FFFFFFFFFFFF004C2D010C010031</v>
      </c>
      <c r="AA8" s="1" t="str">
        <f t="shared" si="3"/>
        <v>:1072D000A95300FFFFFFFFFFFF004C2D010C010031</v>
      </c>
      <c r="AB8" s="1" t="str">
        <f t="shared" si="3"/>
        <v>:1072D000A95300FFFFFFFFFFFF004C2D010C010031</v>
      </c>
      <c r="AC8" s="1" t="str">
        <f t="shared" si="3"/>
        <v>:1072D000A95300FFFFFFFFFFFF004C2D010C010031</v>
      </c>
      <c r="AD8" s="1" t="str">
        <f t="shared" si="3"/>
        <v>:1072D000A95300FFFFFFFFFFFF004C2D010C010031</v>
      </c>
      <c r="AE8" s="1" t="str">
        <f t="shared" si="3"/>
        <v>:1072D000A95300FFFFFFFFFFFF004C2D010C010031</v>
      </c>
      <c r="AF8" s="1" t="str">
        <f t="shared" si="3"/>
        <v>:1072D000A95300FFFFFFFFFFFF004C2D010C010031</v>
      </c>
      <c r="AG8" s="1" t="str">
        <f t="shared" si="3"/>
        <v>:1072D000A95300FFFFFFFFFFFF004C2D010C010031</v>
      </c>
      <c r="AH8" s="1" t="str">
        <f t="shared" si="3"/>
        <v>:1072D000A95300FFFFFFFFFFFF004C2D010C010031</v>
      </c>
    </row>
    <row r="9" spans="2:34" x14ac:dyDescent="0.3">
      <c r="B9" s="2" t="s">
        <v>7</v>
      </c>
      <c r="C9" s="1" t="str">
        <f>_xlfn.CONCAT(":1074A000060501",C$5,"8C",IntelHexChecksum(_xlfn.CONCAT("1074A000060501",C$5,"8C")))</f>
        <v>:1074A000060501EB0146D0004507015798A9538C0A</v>
      </c>
      <c r="D9" s="1" t="str">
        <f t="shared" ref="D9:AH9" si="4">_xlfn.CONCAT(":1074A000060501",D$5,"8C",IntelHexChecksum(_xlfn.CONCAT("1074A000060501",D$5,"8C")))</f>
        <v>:1074A000060501EB0146D0004507095798A9538C02</v>
      </c>
      <c r="E9" s="1" t="str">
        <f t="shared" si="4"/>
        <v>:1074A000060501EB0146D0004507115798A9538CFA</v>
      </c>
      <c r="F9" s="1" t="str">
        <f t="shared" si="4"/>
        <v>:1074A000060501EB0146D0004507195798A9538CF2</v>
      </c>
      <c r="G9" s="1" t="str">
        <f t="shared" si="4"/>
        <v>:1074A000060501EB0146D0004507215798A9538CEA</v>
      </c>
      <c r="H9" s="1" t="str">
        <f t="shared" si="4"/>
        <v>:1074A000060501EB0146D0004507295798A9538CE2</v>
      </c>
      <c r="I9" s="1" t="str">
        <f t="shared" si="4"/>
        <v>:1074A000060501EB0146D0004507315798A9538CDA</v>
      </c>
      <c r="J9" s="1" t="str">
        <f t="shared" si="4"/>
        <v>:1074A000060501EB0146D0004507395798A9538CD2</v>
      </c>
      <c r="K9" s="1" t="str">
        <f t="shared" si="4"/>
        <v>:1074A000060501EB0146D0004507415798A9538CCA</v>
      </c>
      <c r="L9" s="1" t="str">
        <f t="shared" si="4"/>
        <v>:1074A000060501EB0146D0004507495798A9538CC2</v>
      </c>
      <c r="M9" s="1" t="str">
        <f t="shared" si="4"/>
        <v>:1074A000060501EB0146D0004507515798A9538CBA</v>
      </c>
      <c r="N9" s="1" t="str">
        <f t="shared" si="4"/>
        <v>:1074A000060501EB0146D0004507595798A9538CB2</v>
      </c>
      <c r="O9" s="1" t="str">
        <f t="shared" si="4"/>
        <v>:1074A000060501EB0146D0004507615798A9538CAA</v>
      </c>
      <c r="P9" s="1" t="str">
        <f t="shared" si="4"/>
        <v>:1074A000060501EB0146D0004507695798A9538CA2</v>
      </c>
      <c r="Q9" s="1" t="str">
        <f t="shared" si="4"/>
        <v>:1074A000060501EB0146D0004507715798A9538C9A</v>
      </c>
      <c r="R9" s="1" t="str">
        <f t="shared" si="4"/>
        <v>:1074A000060501EB0146D0004507795798A9538C92</v>
      </c>
      <c r="S9" s="1" t="str">
        <f t="shared" si="4"/>
        <v>:1074A000060501EB0146D0004507815798A9538C8A</v>
      </c>
      <c r="T9" s="1" t="str">
        <f t="shared" si="4"/>
        <v>:1074A000060501EB0146D0004507895798A9538C82</v>
      </c>
      <c r="U9" s="1" t="str">
        <f t="shared" si="4"/>
        <v>:1074A000060501EB0146D0004507915798A9538C7A</v>
      </c>
      <c r="V9" s="1" t="str">
        <f t="shared" si="4"/>
        <v>:1074A000060501EB0146D0004507995798A9538C72</v>
      </c>
      <c r="W9" s="1" t="str">
        <f t="shared" si="4"/>
        <v>:1074A000060501EB0146D0004507A15798A9538C6A</v>
      </c>
      <c r="X9" s="1" t="str">
        <f t="shared" si="4"/>
        <v>:1074A000060501EB0146D0004507A95798A9538C62</v>
      </c>
      <c r="Y9" s="1" t="str">
        <f t="shared" si="4"/>
        <v>:1074A000060501EB0146D0004507B15798A9538C5A</v>
      </c>
      <c r="Z9" s="1" t="str">
        <f t="shared" si="4"/>
        <v>:1074A000060501EB0146D0004507B95798A9538C52</v>
      </c>
      <c r="AA9" s="1" t="str">
        <f t="shared" si="4"/>
        <v>:1074A000060501EB0146D0004507C15798A9538C4A</v>
      </c>
      <c r="AB9" s="1" t="str">
        <f t="shared" si="4"/>
        <v>:1074A000060501EB0146D0004507C95798A9538C42</v>
      </c>
      <c r="AC9" s="1" t="str">
        <f t="shared" si="4"/>
        <v>:1074A000060501EB0146D0004507D15798A9538C3A</v>
      </c>
      <c r="AD9" s="1" t="str">
        <f t="shared" si="4"/>
        <v>:1074A000060501EB0146D0004507D95798A9538C32</v>
      </c>
      <c r="AE9" s="1" t="str">
        <f t="shared" si="4"/>
        <v>:1074A000060501EB0146D0004507E15798A9538C2A</v>
      </c>
      <c r="AF9" s="1" t="str">
        <f t="shared" si="4"/>
        <v>:1074A000060501EB0146D0004507E95798A9538C22</v>
      </c>
      <c r="AG9" s="1" t="str">
        <f t="shared" si="4"/>
        <v>:1074A000060501EB0146D0004507F15798A9538C1A</v>
      </c>
      <c r="AH9" s="1" t="str">
        <f t="shared" si="4"/>
        <v>:1074A000060501EB0146D0004507F95798A9538C12</v>
      </c>
    </row>
    <row r="10" spans="2:34" x14ac:dyDescent="0.3">
      <c r="B10" s="2" t="s">
        <v>8</v>
      </c>
      <c r="C10" s="1" t="str">
        <f>_xlfn.CONCAT(":10899000000000000000",C$6,"0605018C0AD08A20E0",IntelHexChecksum((_xlfn.CONCAT("10899000000000000000",C$6,"0605018C0AD08A20E0"))))</f>
        <v>:10899000000000000000A00605018C0AD08A20E03B</v>
      </c>
      <c r="D10" s="1" t="str">
        <f t="shared" ref="D10:AH10" si="5">_xlfn.CONCAT(":10899000000000000000",D$6,"0605018C0AD08A20E0",IntelHexChecksum((_xlfn.CONCAT("10899000000000000000",D$6,"0605018C0AD08A20E0"))))</f>
        <v>:10899000000000000000980605018C0AD08A20E043</v>
      </c>
      <c r="E10" s="1" t="str">
        <f t="shared" si="5"/>
        <v>:10899000000000000000900605018C0AD08A20E04B</v>
      </c>
      <c r="F10" s="1" t="str">
        <f t="shared" si="5"/>
        <v>:10899000000000000000880605018C0AD08A20E053</v>
      </c>
      <c r="G10" s="1" t="str">
        <f t="shared" si="5"/>
        <v>:10899000000000000000800605018C0AD08A20E05B</v>
      </c>
      <c r="H10" s="1" t="str">
        <f t="shared" si="5"/>
        <v>:10899000000000000000780605018C0AD08A20E063</v>
      </c>
      <c r="I10" s="1" t="str">
        <f t="shared" si="5"/>
        <v>:10899000000000000000700605018C0AD08A20E06B</v>
      </c>
      <c r="J10" s="1" t="str">
        <f t="shared" si="5"/>
        <v>:10899000000000000000680605018C0AD08A20E073</v>
      </c>
      <c r="K10" s="1" t="str">
        <f t="shared" si="5"/>
        <v>:10899000000000000000600605018C0AD08A20E07B</v>
      </c>
      <c r="L10" s="1" t="str">
        <f t="shared" si="5"/>
        <v>:10899000000000000000580605018C0AD08A20E083</v>
      </c>
      <c r="M10" s="1" t="str">
        <f t="shared" si="5"/>
        <v>:10899000000000000000500605018C0AD08A20E08B</v>
      </c>
      <c r="N10" s="1" t="str">
        <f t="shared" si="5"/>
        <v>:10899000000000000000480605018C0AD08A20E093</v>
      </c>
      <c r="O10" s="1" t="str">
        <f t="shared" si="5"/>
        <v>:10899000000000000000400605018C0AD08A20E09B</v>
      </c>
      <c r="P10" s="1" t="str">
        <f t="shared" si="5"/>
        <v>:10899000000000000000380605018C0AD08A20E0A3</v>
      </c>
      <c r="Q10" s="1" t="str">
        <f t="shared" si="5"/>
        <v>:10899000000000000000300605018C0AD08A20E0AB</v>
      </c>
      <c r="R10" s="1" t="str">
        <f t="shared" si="5"/>
        <v>:10899000000000000000280605018C0AD08A20E0B3</v>
      </c>
      <c r="S10" s="1" t="str">
        <f t="shared" si="5"/>
        <v>:10899000000000000000200605018C0AD08A20E0BB</v>
      </c>
      <c r="T10" s="1" t="str">
        <f t="shared" si="5"/>
        <v>:10899000000000000000180605018C0AD08A20E0C3</v>
      </c>
      <c r="U10" s="1" t="str">
        <f t="shared" si="5"/>
        <v>:10899000000000000000100605018C0AD08A20E0CB</v>
      </c>
      <c r="V10" s="1" t="str">
        <f t="shared" si="5"/>
        <v>:10899000000000000000080605018C0AD08A20E0D3</v>
      </c>
      <c r="W10" s="1" t="str">
        <f t="shared" si="5"/>
        <v>:10899000000000000000000605018C0AD08A20E0DB</v>
      </c>
      <c r="X10" s="1" t="str">
        <f t="shared" si="5"/>
        <v>:10899000000000000000F80605018C0AD08A20E0E3</v>
      </c>
      <c r="Y10" s="1" t="str">
        <f t="shared" si="5"/>
        <v>:10899000000000000000F00605018C0AD08A20E0EB</v>
      </c>
      <c r="Z10" s="1" t="str">
        <f t="shared" si="5"/>
        <v>:10899000000000000000E80605018C0AD08A20E0F3</v>
      </c>
      <c r="AA10" s="1" t="str">
        <f t="shared" si="5"/>
        <v>:10899000000000000000E00605018C0AD08A20E0FB</v>
      </c>
      <c r="AB10" s="1" t="str">
        <f t="shared" si="5"/>
        <v>:10899000000000000000D80605018C0AD08A20E003</v>
      </c>
      <c r="AC10" s="1" t="str">
        <f t="shared" si="5"/>
        <v>:10899000000000000000D00605018C0AD08A20E00B</v>
      </c>
      <c r="AD10" s="1" t="str">
        <f t="shared" si="5"/>
        <v>:10899000000000000000C80605018C0AD08A20E013</v>
      </c>
      <c r="AE10" s="1" t="str">
        <f t="shared" si="5"/>
        <v>:10899000000000000000C00605018C0AD08A20E01B</v>
      </c>
      <c r="AF10" s="1" t="str">
        <f t="shared" si="5"/>
        <v>:10899000000000000000B80605018C0AD08A20E023</v>
      </c>
      <c r="AG10" s="1" t="str">
        <f t="shared" si="5"/>
        <v>:10899000000000000000B00605018C0AD08A20E02B</v>
      </c>
      <c r="AH10" s="1" t="str">
        <f t="shared" si="5"/>
        <v>:10899000000000000000A80605018C0AD08A20E033</v>
      </c>
    </row>
    <row r="11" spans="2:34" x14ac:dyDescent="0.3">
      <c r="B11" s="1" t="s">
        <v>9</v>
      </c>
      <c r="C11" s="1" t="str">
        <f>_xlfn.CONCAT(":108A9000201820282038200000000000000000",C$6,IntelHexChecksum(_xlfn.CONCAT("108A9000201820282038200000000000000000",C$6)))</f>
        <v>:108A9000201820282038200000000000000000A03E</v>
      </c>
      <c r="D11" s="1" t="str">
        <f t="shared" ref="D11:AH11" si="6">_xlfn.CONCAT(":108A9000201820282038200000000000000000",D$6,IntelHexChecksum(_xlfn.CONCAT("108A9000201820282038200000000000000000",D$6)))</f>
        <v>:108A90002018202820382000000000000000009846</v>
      </c>
      <c r="E11" s="1" t="str">
        <f t="shared" si="6"/>
        <v>:108A9000201820282038200000000000000000904E</v>
      </c>
      <c r="F11" s="1" t="str">
        <f t="shared" si="6"/>
        <v>:108A90002018202820382000000000000000008856</v>
      </c>
      <c r="G11" s="1" t="str">
        <f t="shared" si="6"/>
        <v>:108A9000201820282038200000000000000000805E</v>
      </c>
      <c r="H11" s="1" t="str">
        <f t="shared" si="6"/>
        <v>:108A90002018202820382000000000000000007866</v>
      </c>
      <c r="I11" s="1" t="str">
        <f t="shared" si="6"/>
        <v>:108A9000201820282038200000000000000000706E</v>
      </c>
      <c r="J11" s="1" t="str">
        <f t="shared" si="6"/>
        <v>:108A90002018202820382000000000000000006876</v>
      </c>
      <c r="K11" s="1" t="str">
        <f t="shared" si="6"/>
        <v>:108A9000201820282038200000000000000000607E</v>
      </c>
      <c r="L11" s="1" t="str">
        <f t="shared" si="6"/>
        <v>:108A90002018202820382000000000000000005886</v>
      </c>
      <c r="M11" s="1" t="str">
        <f t="shared" si="6"/>
        <v>:108A9000201820282038200000000000000000508E</v>
      </c>
      <c r="N11" s="1" t="str">
        <f t="shared" si="6"/>
        <v>:108A90002018202820382000000000000000004896</v>
      </c>
      <c r="O11" s="1" t="str">
        <f t="shared" si="6"/>
        <v>:108A9000201820282038200000000000000000409E</v>
      </c>
      <c r="P11" s="1" t="str">
        <f t="shared" si="6"/>
        <v>:108A900020182028203820000000000000000038A6</v>
      </c>
      <c r="Q11" s="1" t="str">
        <f t="shared" si="6"/>
        <v>:108A900020182028203820000000000000000030AE</v>
      </c>
      <c r="R11" s="1" t="str">
        <f t="shared" si="6"/>
        <v>:108A900020182028203820000000000000000028B6</v>
      </c>
      <c r="S11" s="1" t="str">
        <f t="shared" si="6"/>
        <v>:108A900020182028203820000000000000000020BE</v>
      </c>
      <c r="T11" s="1" t="str">
        <f t="shared" si="6"/>
        <v>:108A900020182028203820000000000000000018C6</v>
      </c>
      <c r="U11" s="1" t="str">
        <f t="shared" si="6"/>
        <v>:108A900020182028203820000000000000000010CE</v>
      </c>
      <c r="V11" s="1" t="str">
        <f t="shared" si="6"/>
        <v>:108A900020182028203820000000000000000008D6</v>
      </c>
      <c r="W11" s="1" t="str">
        <f t="shared" si="6"/>
        <v>:108A900020182028203820000000000000000000DE</v>
      </c>
      <c r="X11" s="1" t="str">
        <f t="shared" si="6"/>
        <v>:108A9000201820282038200000000000000000F8E6</v>
      </c>
      <c r="Y11" s="1" t="str">
        <f t="shared" si="6"/>
        <v>:108A9000201820282038200000000000000000F0EE</v>
      </c>
      <c r="Z11" s="1" t="str">
        <f t="shared" si="6"/>
        <v>:108A9000201820282038200000000000000000E8F6</v>
      </c>
      <c r="AA11" s="1" t="str">
        <f t="shared" si="6"/>
        <v>:108A9000201820282038200000000000000000E0FE</v>
      </c>
      <c r="AB11" s="1" t="str">
        <f t="shared" si="6"/>
        <v>:108A9000201820282038200000000000000000D806</v>
      </c>
      <c r="AC11" s="1" t="str">
        <f t="shared" si="6"/>
        <v>:108A9000201820282038200000000000000000D00E</v>
      </c>
      <c r="AD11" s="1" t="str">
        <f t="shared" si="6"/>
        <v>:108A9000201820282038200000000000000000C816</v>
      </c>
      <c r="AE11" s="1" t="str">
        <f t="shared" si="6"/>
        <v>:108A9000201820282038200000000000000000C01E</v>
      </c>
      <c r="AF11" s="1" t="str">
        <f t="shared" si="6"/>
        <v>:108A9000201820282038200000000000000000B826</v>
      </c>
      <c r="AG11" s="1" t="str">
        <f t="shared" si="6"/>
        <v>:108A9000201820282038200000000000000000B02E</v>
      </c>
      <c r="AH11" s="1" t="str">
        <f t="shared" si="6"/>
        <v>:108A9000201820282038200000000000000000A836</v>
      </c>
    </row>
    <row r="13" spans="2:34" x14ac:dyDescent="0.3">
      <c r="C13" s="1"/>
      <c r="D13" s="1"/>
      <c r="E13" s="1"/>
    </row>
    <row r="14" spans="2:34" x14ac:dyDescent="0.3">
      <c r="C14" s="4"/>
    </row>
    <row r="15" spans="2:34" x14ac:dyDescent="0.3">
      <c r="C15" s="4"/>
    </row>
    <row r="16" spans="2:34" x14ac:dyDescent="0.3">
      <c r="C16" s="4"/>
    </row>
    <row r="17" spans="3:3" x14ac:dyDescent="0.3">
      <c r="C17" s="4"/>
    </row>
    <row r="18" spans="3:3" x14ac:dyDescent="0.3">
      <c r="C18" s="4"/>
    </row>
    <row r="19" spans="3:3" x14ac:dyDescent="0.3">
      <c r="C19" s="4"/>
    </row>
    <row r="20" spans="3:3" x14ac:dyDescent="0.3">
      <c r="C20" s="4"/>
    </row>
    <row r="21" spans="3:3" x14ac:dyDescent="0.3">
      <c r="C21" s="4"/>
    </row>
    <row r="22" spans="3:3" x14ac:dyDescent="0.3">
      <c r="C22" s="4"/>
    </row>
    <row r="23" spans="3:3" x14ac:dyDescent="0.3">
      <c r="C23" s="4"/>
    </row>
    <row r="24" spans="3:3" x14ac:dyDescent="0.3">
      <c r="C24" s="4"/>
    </row>
    <row r="25" spans="3:3" x14ac:dyDescent="0.3">
      <c r="C25" s="4"/>
    </row>
    <row r="26" spans="3:3" x14ac:dyDescent="0.3">
      <c r="C26" s="4"/>
    </row>
    <row r="27" spans="3:3" x14ac:dyDescent="0.3">
      <c r="C27" s="4"/>
    </row>
    <row r="28" spans="3:3" x14ac:dyDescent="0.3">
      <c r="C28" s="4"/>
    </row>
    <row r="29" spans="3:3" x14ac:dyDescent="0.3">
      <c r="C29" s="4"/>
    </row>
    <row r="30" spans="3:3" x14ac:dyDescent="0.3">
      <c r="C30" s="4"/>
    </row>
    <row r="31" spans="3:3" x14ac:dyDescent="0.3">
      <c r="C31" s="4"/>
    </row>
    <row r="32" spans="3:3" x14ac:dyDescent="0.3">
      <c r="C32" s="4"/>
    </row>
    <row r="33" spans="3:3" x14ac:dyDescent="0.3">
      <c r="C33" s="4"/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  <row r="39" spans="3:3" x14ac:dyDescent="0.3">
      <c r="C39" s="4"/>
    </row>
    <row r="40" spans="3:3" x14ac:dyDescent="0.3">
      <c r="C40" s="4"/>
    </row>
    <row r="41" spans="3:3" x14ac:dyDescent="0.3">
      <c r="C41" s="4"/>
    </row>
    <row r="42" spans="3:3" x14ac:dyDescent="0.3">
      <c r="C42" s="4"/>
    </row>
    <row r="43" spans="3:3" x14ac:dyDescent="0.3">
      <c r="C43" s="4"/>
    </row>
    <row r="44" spans="3:3" x14ac:dyDescent="0.3">
      <c r="C44" s="4"/>
    </row>
    <row r="45" spans="3:3" x14ac:dyDescent="0.3">
      <c r="C45" s="4"/>
    </row>
  </sheetData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keTheFWs">
                <anchor moveWithCells="1" sizeWithCells="1">
                  <from>
                    <xdr:col>3</xdr:col>
                    <xdr:colOff>263347</xdr:colOff>
                    <xdr:row>13</xdr:row>
                    <xdr:rowOff>7315</xdr:rowOff>
                  </from>
                  <to>
                    <xdr:col>3</xdr:col>
                    <xdr:colOff>2991917</xdr:colOff>
                    <xdr:row>16</xdr:row>
                    <xdr:rowOff>95098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35006-8378-4666-AF88-3F6D0C2A21AC}">
  <sheetPr codeName="Sheet2"/>
  <dimension ref="B2:BB36"/>
  <sheetViews>
    <sheetView tabSelected="1" zoomScale="90" zoomScaleNormal="90" workbookViewId="0">
      <selection activeCell="K22" sqref="K22"/>
    </sheetView>
  </sheetViews>
  <sheetFormatPr defaultRowHeight="14.4" x14ac:dyDescent="0.3"/>
  <cols>
    <col min="2" max="2" width="10.8984375" customWidth="1"/>
    <col min="3" max="7" width="4.3984375" customWidth="1"/>
    <col min="8" max="8" width="10.69921875" customWidth="1"/>
    <col min="9" max="9" width="10" customWidth="1"/>
    <col min="10" max="10" width="12.69921875" customWidth="1"/>
    <col min="11" max="11" width="12.296875" customWidth="1"/>
    <col min="12" max="12" width="11.19921875" customWidth="1"/>
    <col min="13" max="13" width="11.69921875" customWidth="1"/>
    <col min="14" max="14" width="9.8984375" customWidth="1"/>
    <col min="15" max="16" width="8.3984375" customWidth="1"/>
    <col min="17" max="17" width="20.3984375" customWidth="1"/>
    <col min="18" max="18" width="8.19921875" customWidth="1"/>
    <col min="19" max="19" width="11.796875" customWidth="1"/>
    <col min="20" max="20" width="7.59765625" customWidth="1"/>
    <col min="21" max="21" width="12.59765625" customWidth="1"/>
    <col min="22" max="23" width="7.5" customWidth="1"/>
    <col min="24" max="25" width="7.19921875" customWidth="1"/>
    <col min="47" max="47" width="24.59765625" customWidth="1"/>
  </cols>
  <sheetData>
    <row r="2" spans="2:54" ht="15" thickBot="1" x14ac:dyDescent="0.35"/>
    <row r="3" spans="2:54" ht="15" thickBot="1" x14ac:dyDescent="0.35">
      <c r="H3" s="46" t="s">
        <v>40</v>
      </c>
      <c r="I3" s="48" t="s">
        <v>52</v>
      </c>
    </row>
    <row r="4" spans="2:54" ht="15" thickBot="1" x14ac:dyDescent="0.35">
      <c r="AO4" t="s">
        <v>32</v>
      </c>
      <c r="AP4" t="s">
        <v>33</v>
      </c>
      <c r="AR4" t="s">
        <v>15</v>
      </c>
      <c r="AS4" t="s">
        <v>41</v>
      </c>
      <c r="AU4" t="s">
        <v>42</v>
      </c>
      <c r="AV4" t="s">
        <v>43</v>
      </c>
    </row>
    <row r="5" spans="2:54" ht="15" thickBot="1" x14ac:dyDescent="0.35">
      <c r="C5" s="14" t="s">
        <v>10</v>
      </c>
      <c r="D5" s="15" t="s">
        <v>11</v>
      </c>
      <c r="E5" s="14">
        <v>46</v>
      </c>
      <c r="F5" s="14" t="s">
        <v>12</v>
      </c>
      <c r="G5" s="15" t="s">
        <v>13</v>
      </c>
      <c r="H5" s="54" t="str">
        <f>DEC2HEX(_xlfn.BITLSHIFT(BIN2DEC(H8),5)+_xlfn.BITLSHIFT(BIN2DEC(I8),2)+_xlfn.BITLSHIFT(BIN2DEC(J8),1)+BIN2DEC(K8))</f>
        <v>45</v>
      </c>
      <c r="I5" s="55"/>
      <c r="J5" s="55"/>
      <c r="K5" s="56"/>
      <c r="L5" s="57" t="str">
        <f>DEC2HEX(_xlfn.BITLSHIFT(BIN2DEC(L8),3)+_xlfn.BITLSHIFT(BIN2DEC(M8),2)+BIN2DEC(N8),2)</f>
        <v>07</v>
      </c>
      <c r="M5" s="49"/>
      <c r="N5" s="50"/>
      <c r="O5" s="57" t="str">
        <f>DEC2HEX(_xlfn.BITLSHIFT(BIN2DEC(O8),3)+_xlfn.BITLSHIFT(BIN2DEC(P8),1)+BIN2DEC(Q8),2)</f>
        <v>01</v>
      </c>
      <c r="P5" s="49"/>
      <c r="Q5" s="50"/>
      <c r="R5" s="49" t="str">
        <f>BIN2HEX(_xlfn.CONCAT(R8,S8),2)</f>
        <v>56</v>
      </c>
      <c r="S5" s="50"/>
      <c r="T5" s="49" t="str">
        <f>BIN2HEX(_xlfn.CONCAT(T8,U8),2)</f>
        <v>99</v>
      </c>
      <c r="U5" s="50"/>
      <c r="V5" s="49" t="str">
        <f>BIN2HEX(_xlfn.CONCAT(V8,W8),2)</f>
        <v>A9</v>
      </c>
      <c r="W5" s="50"/>
      <c r="X5" s="49" t="str">
        <f>BIN2HEX(_xlfn.CONCAT(X8,Y8),2)</f>
        <v>53</v>
      </c>
      <c r="Y5" s="50"/>
      <c r="AN5" s="4">
        <f t="shared" ref="AN5:AN36" si="0">INT(AP5)</f>
        <v>96</v>
      </c>
      <c r="AO5">
        <v>0</v>
      </c>
      <c r="AP5" s="4" cm="1">
        <f t="array" ref="AP5">PQ2nits((2055+65*AO5)/(2055+31*65))</f>
        <v>96.892947435897241</v>
      </c>
      <c r="AR5" s="22" t="s">
        <v>29</v>
      </c>
      <c r="AS5" s="21" t="s">
        <v>13</v>
      </c>
      <c r="AU5" s="23" t="s">
        <v>44</v>
      </c>
      <c r="AV5" s="6" t="s">
        <v>13</v>
      </c>
    </row>
    <row r="6" spans="2:54" ht="30.55" customHeight="1" x14ac:dyDescent="0.3">
      <c r="C6" s="51" t="s">
        <v>23</v>
      </c>
      <c r="D6" s="52"/>
      <c r="E6" s="52"/>
      <c r="F6" s="52"/>
      <c r="G6" s="53"/>
      <c r="H6" s="40" t="s">
        <v>16</v>
      </c>
      <c r="I6" s="41" t="s">
        <v>18</v>
      </c>
      <c r="J6" s="42" t="s">
        <v>24</v>
      </c>
      <c r="K6" s="43" t="s">
        <v>14</v>
      </c>
      <c r="L6" s="44" t="s">
        <v>69</v>
      </c>
      <c r="M6" s="42" t="s">
        <v>49</v>
      </c>
      <c r="N6" s="45" t="s">
        <v>68</v>
      </c>
      <c r="O6" s="44" t="s">
        <v>70</v>
      </c>
      <c r="P6" s="41" t="s">
        <v>17</v>
      </c>
      <c r="Q6" s="43" t="s">
        <v>46</v>
      </c>
      <c r="R6" s="41" t="s">
        <v>67</v>
      </c>
      <c r="S6" s="43" t="s">
        <v>31</v>
      </c>
      <c r="T6" s="41" t="s">
        <v>66</v>
      </c>
      <c r="U6" s="43" t="s">
        <v>30</v>
      </c>
      <c r="V6" s="41" t="s">
        <v>65</v>
      </c>
      <c r="W6" s="43" t="s">
        <v>20</v>
      </c>
      <c r="X6" s="41" t="s">
        <v>64</v>
      </c>
      <c r="Y6" s="43" t="s">
        <v>19</v>
      </c>
      <c r="AN6" s="4">
        <f t="shared" si="0"/>
        <v>113</v>
      </c>
      <c r="AO6">
        <v>1</v>
      </c>
      <c r="AP6" s="4" cm="1">
        <f t="array" ref="AP6">PQ2nits((2055+65*AO6)/(2055+31*65))</f>
        <v>113.54849272653058</v>
      </c>
      <c r="AR6" s="22" t="s">
        <v>28</v>
      </c>
      <c r="AS6" s="21" t="s">
        <v>11</v>
      </c>
      <c r="AU6" s="23" t="s">
        <v>45</v>
      </c>
      <c r="AV6" s="6" t="s">
        <v>11</v>
      </c>
    </row>
    <row r="7" spans="2:54" x14ac:dyDescent="0.3">
      <c r="C7" s="16"/>
      <c r="D7" s="10"/>
      <c r="E7" s="10"/>
      <c r="F7" s="10"/>
      <c r="G7" s="17"/>
      <c r="H7" s="18">
        <v>2</v>
      </c>
      <c r="I7" s="19" t="s">
        <v>27</v>
      </c>
      <c r="J7" s="24" t="s">
        <v>26</v>
      </c>
      <c r="K7" s="24" t="s">
        <v>25</v>
      </c>
      <c r="L7" s="18">
        <v>0</v>
      </c>
      <c r="M7" s="24" t="s">
        <v>25</v>
      </c>
      <c r="N7" s="25" t="s">
        <v>35</v>
      </c>
      <c r="O7" s="36">
        <v>96</v>
      </c>
      <c r="P7" s="37">
        <v>0</v>
      </c>
      <c r="Q7" s="26" t="s">
        <v>45</v>
      </c>
      <c r="R7" s="33">
        <f>INDEX(AX15:AX17,MATCH(I3,AU15:AU17,0))</f>
        <v>0.17</v>
      </c>
      <c r="S7" s="47" t="s">
        <v>26</v>
      </c>
      <c r="T7" s="34">
        <f>INDEX(AY15:AY17,MATCH($I$3,$AU$15:$AU$17,0))</f>
        <v>0.79700000000000004</v>
      </c>
      <c r="U7" s="47" t="s">
        <v>25</v>
      </c>
      <c r="V7" s="34">
        <f>INDEX(AV15:AV17,MATCH($I$3,$AU$15:$AU$17,0))</f>
        <v>0.70799999999999996</v>
      </c>
      <c r="W7" s="35">
        <f>INDEX(AZ15:AZ17,MATCH($I$3,$AU$15:$AU$17,0))</f>
        <v>0.13100000000000001</v>
      </c>
      <c r="X7" s="33">
        <f>INDEX(AW15:AW17,MATCH($I$3,$AU$15:$AU$17,0))</f>
        <v>0.29199999999999998</v>
      </c>
      <c r="Y7" s="35">
        <f>INDEX(BA15:BA17,MATCH($I$3,$AU$15:$AU$17,0))</f>
        <v>4.5999999999999999E-2</v>
      </c>
      <c r="AN7" s="4">
        <f t="shared" si="0"/>
        <v>132</v>
      </c>
      <c r="AO7">
        <v>2</v>
      </c>
      <c r="AP7" s="4" cm="1">
        <f t="array" ref="AP7">PQ2nits((2055+65*AO7)/(2055+31*65))</f>
        <v>132.85537796729577</v>
      </c>
      <c r="AR7" s="22" t="s">
        <v>34</v>
      </c>
      <c r="AS7" s="21" t="s">
        <v>36</v>
      </c>
      <c r="AU7" s="23" t="s">
        <v>47</v>
      </c>
      <c r="AV7" s="6" t="s">
        <v>36</v>
      </c>
    </row>
    <row r="8" spans="2:54" s="7" customFormat="1" ht="15" thickBot="1" x14ac:dyDescent="0.35">
      <c r="C8" s="12"/>
      <c r="D8" s="11"/>
      <c r="E8" s="11"/>
      <c r="F8" s="11"/>
      <c r="G8" s="13"/>
      <c r="H8" s="20" t="s">
        <v>21</v>
      </c>
      <c r="I8" s="27" t="s">
        <v>22</v>
      </c>
      <c r="J8" s="28">
        <f>IF(EXACT(J7,"Supported"),1,0)</f>
        <v>0</v>
      </c>
      <c r="K8" s="28">
        <f>IF(EXACT(K7,"Supported"),1,0)</f>
        <v>1</v>
      </c>
      <c r="L8" s="20" t="s">
        <v>39</v>
      </c>
      <c r="M8" s="28">
        <f>IF(EXACT(M7,"Supported"),1,0)</f>
        <v>1</v>
      </c>
      <c r="N8" s="29" t="str">
        <f>IF(EXACT(J7,"Not Supported"),"11",INDEX(AS5:AS8,MATCH(N7,AR5:AR8,0)))</f>
        <v>11</v>
      </c>
      <c r="O8" s="30" t="str">
        <f>DEC2BIN(VLOOKUP(O7,AN5:AO36,2),5)</f>
        <v>00000</v>
      </c>
      <c r="P8" s="38">
        <v>0</v>
      </c>
      <c r="Q8" s="29" t="str">
        <f>VLOOKUP(Q7,AU5:AV8,2)</f>
        <v>01</v>
      </c>
      <c r="R8" s="39" t="str">
        <f>DEC2BIN(R7/( 0.49609375/127),7)</f>
        <v>0101011</v>
      </c>
      <c r="S8" s="31">
        <f>IF(AND(EXACT(S7,"Supported"),EXACT(U7,"Not Supported")),1,0)</f>
        <v>0</v>
      </c>
      <c r="T8" s="39" t="str">
        <f>DEC2BIN((T7-0.5)/((0.99609375-0.5)/127),7)</f>
        <v>1001100</v>
      </c>
      <c r="U8" s="31">
        <f>IF(AND(EXACT(U7,"Supported"),EXACT(S7,"Not Supported")),1,0)</f>
        <v>1</v>
      </c>
      <c r="V8" s="30" t="str">
        <f>DEC2BIN((V7-0.625)/((0.74609375-0.625)/31),5)</f>
        <v>10101</v>
      </c>
      <c r="W8" s="29" t="str">
        <f>DEC2BIN((W7-0.125)/((0.15234375-0.125)/7),3)</f>
        <v>001</v>
      </c>
      <c r="X8" s="30" t="str">
        <f>DEC2BIN((X7-0.25)/((0.37109375-0.25)/31),5)</f>
        <v>01010</v>
      </c>
      <c r="Y8" s="29" t="str">
        <f>DEC2BIN((Y7-0.03125)/((0.05859375-0.03125)/7),3)</f>
        <v>011</v>
      </c>
      <c r="AN8" s="4">
        <f t="shared" si="0"/>
        <v>155</v>
      </c>
      <c r="AO8">
        <v>3</v>
      </c>
      <c r="AP8" s="4" cm="1">
        <f t="array" ref="AP8">PQ2nits((2055+65*AO8)/(2055+31*65))</f>
        <v>155.21994460137429</v>
      </c>
      <c r="AR8" s="21" t="s">
        <v>35</v>
      </c>
      <c r="AS8" s="21" t="s">
        <v>37</v>
      </c>
      <c r="AU8" s="23" t="s">
        <v>48</v>
      </c>
      <c r="AV8" s="8" t="s">
        <v>37</v>
      </c>
    </row>
    <row r="9" spans="2:54" x14ac:dyDescent="0.3"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N9" s="4">
        <f t="shared" si="0"/>
        <v>181</v>
      </c>
      <c r="AO9">
        <v>4</v>
      </c>
      <c r="AP9" s="4" cm="1">
        <f t="array" ref="AP9">PQ2nits((2055+65*AO9)/(2055+31*65))</f>
        <v>181.11079810347903</v>
      </c>
      <c r="AR9" s="5" t="s">
        <v>38</v>
      </c>
      <c r="AS9">
        <v>11</v>
      </c>
    </row>
    <row r="10" spans="2:54" x14ac:dyDescent="0.3">
      <c r="B10" s="9" t="s">
        <v>72</v>
      </c>
      <c r="C10" s="58" t="s">
        <v>74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N10" s="4">
        <f t="shared" si="0"/>
        <v>211</v>
      </c>
      <c r="AO10">
        <v>5</v>
      </c>
      <c r="AP10" s="4" cm="1">
        <f t="array" ref="AP10">PQ2nits((2055+65*AO10)/(2055+31*65))</f>
        <v>211.06861673067306</v>
      </c>
      <c r="AR10" s="5"/>
    </row>
    <row r="11" spans="2:54" x14ac:dyDescent="0.3">
      <c r="B11" s="9" t="s">
        <v>73</v>
      </c>
      <c r="C11" s="58" t="s">
        <v>75</v>
      </c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N11" s="4">
        <f t="shared" si="0"/>
        <v>245</v>
      </c>
      <c r="AO11">
        <v>6</v>
      </c>
      <c r="AP11" s="4" cm="1">
        <f t="array" ref="AP11">PQ2nits((2055+65*AO11)/(2055+31*65))</f>
        <v>245.71757619655023</v>
      </c>
      <c r="AR11" s="5"/>
    </row>
    <row r="12" spans="2:54" x14ac:dyDescent="0.3">
      <c r="B12" s="9" t="s">
        <v>0</v>
      </c>
      <c r="C12" t="str">
        <f>_xlfn.CONCAT(C5:Y5)</f>
        <v>EB0146D0004507015699A953</v>
      </c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N12" s="4">
        <f t="shared" si="0"/>
        <v>285</v>
      </c>
      <c r="AO12">
        <v>7</v>
      </c>
      <c r="AP12" s="4" cm="1">
        <f t="array" ref="AP12">PQ2nits((2055+65*AO12)/(2055+31*65))</f>
        <v>285.77867132456396</v>
      </c>
    </row>
    <row r="13" spans="2:54" x14ac:dyDescent="0.3">
      <c r="B13" t="s">
        <v>71</v>
      </c>
      <c r="C13" s="3" t="str" cm="1">
        <f t="array" ref="C13">EDIDCheckSum(C12)</f>
        <v>A0</v>
      </c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N13" s="4">
        <f t="shared" si="0"/>
        <v>332</v>
      </c>
      <c r="AO13">
        <v>8</v>
      </c>
      <c r="AP13" s="4" cm="1">
        <f t="array" ref="AP13">PQ2nits((2055+65*AO13)/(2055+31*65))</f>
        <v>332.08526759956629</v>
      </c>
    </row>
    <row r="14" spans="2:54" x14ac:dyDescent="0.3">
      <c r="B14" s="1" t="s">
        <v>5</v>
      </c>
      <c r="C14" s="1" t="str">
        <f>_xlfn.CONCAT(":1072C000024600207047",LEFT(C$12,20),IntelHexChecksum(_xlfn.CONCAT("1072C000024600207047",LEFT(C$12,20))))</f>
        <v>:1072C000024600207047EB0146D000450701569961</v>
      </c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N14" s="4">
        <f t="shared" si="0"/>
        <v>385</v>
      </c>
      <c r="AO14">
        <v>9</v>
      </c>
      <c r="AP14" s="4" cm="1">
        <f t="array" ref="AP14">PQ2nits((2055+65*AO14)/(2055+31*65))</f>
        <v>385.60127757797198</v>
      </c>
      <c r="AU14" t="s">
        <v>50</v>
      </c>
      <c r="AV14" t="s">
        <v>54</v>
      </c>
      <c r="AW14" t="s">
        <v>55</v>
      </c>
      <c r="AX14" t="s">
        <v>56</v>
      </c>
      <c r="AY14" t="s">
        <v>57</v>
      </c>
      <c r="AZ14" t="s">
        <v>58</v>
      </c>
      <c r="BA14" t="s">
        <v>59</v>
      </c>
      <c r="BB14" t="s">
        <v>63</v>
      </c>
    </row>
    <row r="15" spans="2:54" x14ac:dyDescent="0.3">
      <c r="B15" s="1" t="s">
        <v>6</v>
      </c>
      <c r="C15" s="1" t="str">
        <f>_xlfn.CONCAT(":1072D000",RIGHT(C$12,4),"00FFFFFFFFFFFF004C2D010C0100",IntelHexChecksum(_xlfn.CONCAT("1072D000",RIGHT(C$12,4),"00FFFFFFFFFFFF004C2D010C0100")))</f>
        <v>:1072D000A95300FFFFFFFFFFFF004C2D010C010031</v>
      </c>
      <c r="AN15" s="4">
        <f t="shared" si="0"/>
        <v>447</v>
      </c>
      <c r="AO15">
        <v>10</v>
      </c>
      <c r="AP15" s="4" cm="1">
        <f t="array" ref="AP15">PQ2nits((2055+65*AO15)/(2055+31*65))</f>
        <v>447.44243145789636</v>
      </c>
      <c r="AU15" s="6" t="s">
        <v>51</v>
      </c>
      <c r="AV15" s="32">
        <v>0.64</v>
      </c>
      <c r="AW15" s="32">
        <v>0.33</v>
      </c>
      <c r="AX15" s="32">
        <v>0.3</v>
      </c>
      <c r="AY15" s="32">
        <v>0.6</v>
      </c>
      <c r="AZ15" s="32">
        <v>0.15</v>
      </c>
      <c r="BA15" s="32">
        <v>0.06</v>
      </c>
      <c r="BB15" t="s">
        <v>62</v>
      </c>
    </row>
    <row r="16" spans="2:54" x14ac:dyDescent="0.3">
      <c r="B16" s="2" t="s">
        <v>7</v>
      </c>
      <c r="C16" s="1" t="str">
        <f>_xlfn.CONCAT(":1074A000060501",C$12,"8C",IntelHexChecksum(_xlfn.CONCAT("1074A000060501",C$12,"8C")))</f>
        <v>:1074A000060501EB0146D0004507015699A9538C0A</v>
      </c>
      <c r="AN16" s="4">
        <f t="shared" si="0"/>
        <v>518</v>
      </c>
      <c r="AO16">
        <v>11</v>
      </c>
      <c r="AP16" s="4" cm="1">
        <f t="array" ref="AP16">PQ2nits((2055+65*AO16)/(2055+31*65))</f>
        <v>518.90120035135783</v>
      </c>
      <c r="AU16" s="6" t="s">
        <v>52</v>
      </c>
      <c r="AV16" s="32">
        <v>0.70799999999999996</v>
      </c>
      <c r="AW16" s="32">
        <v>0.29199999999999998</v>
      </c>
      <c r="AX16" s="32">
        <v>0.17</v>
      </c>
      <c r="AY16" s="32">
        <v>0.79700000000000004</v>
      </c>
      <c r="AZ16" s="32">
        <v>0.13100000000000001</v>
      </c>
      <c r="BA16" s="32">
        <v>4.5999999999999999E-2</v>
      </c>
      <c r="BB16" t="s">
        <v>60</v>
      </c>
    </row>
    <row r="17" spans="2:54" x14ac:dyDescent="0.3">
      <c r="B17" s="2" t="s">
        <v>8</v>
      </c>
      <c r="C17" s="1" t="str">
        <f>_xlfn.CONCAT(":10899000000000000000",C$13,"0605018C0AD08A20E0",IntelHexChecksum((_xlfn.CONCAT("10899000000000000000",C$13,"0605018C0AD08A20E0"))))</f>
        <v>:10899000000000000000A00605018C0AD08A20E03B</v>
      </c>
      <c r="AN17" s="4">
        <f t="shared" si="0"/>
        <v>601</v>
      </c>
      <c r="AO17">
        <v>12</v>
      </c>
      <c r="AP17" s="4" cm="1">
        <f t="array" ref="AP17">PQ2nits((2055+65*AO17)/(2055+31*65))</f>
        <v>601.47603811806903</v>
      </c>
      <c r="AU17" s="6" t="s">
        <v>53</v>
      </c>
      <c r="AV17" s="32">
        <v>0.68</v>
      </c>
      <c r="AW17" s="32">
        <v>0.32</v>
      </c>
      <c r="AX17" s="32">
        <v>0.26500000000000001</v>
      </c>
      <c r="AY17" s="32">
        <v>0.69</v>
      </c>
      <c r="AZ17" s="32">
        <v>0.15</v>
      </c>
      <c r="BA17" s="32">
        <v>0.06</v>
      </c>
      <c r="BB17" t="s">
        <v>61</v>
      </c>
    </row>
    <row r="18" spans="2:54" x14ac:dyDescent="0.3">
      <c r="B18" s="1" t="s">
        <v>9</v>
      </c>
      <c r="C18" s="1" t="str">
        <f>_xlfn.CONCAT(":108A9000201820282038200000000000000000",C$13,IntelHexChecksum(_xlfn.CONCAT("108A9000201820282038200000000000000000",C$13)))</f>
        <v>:108A9000201820282038200000000000000000A03E</v>
      </c>
      <c r="AN18" s="4">
        <f t="shared" si="0"/>
        <v>696</v>
      </c>
      <c r="AO18">
        <v>13</v>
      </c>
      <c r="AP18" s="4" cm="1">
        <f t="array" ref="AP18">PQ2nits((2055+65*AO18)/(2055+31*65))</f>
        <v>696.90573691813393</v>
      </c>
    </row>
    <row r="19" spans="2:54" x14ac:dyDescent="0.3">
      <c r="AN19" s="4">
        <f t="shared" si="0"/>
        <v>807</v>
      </c>
      <c r="AO19">
        <v>14</v>
      </c>
      <c r="AP19" s="4" cm="1">
        <f t="array" ref="AP19">PQ2nits((2055+65*AO19)/(2055+31*65))</f>
        <v>807.20984771936151</v>
      </c>
    </row>
    <row r="20" spans="2:54" x14ac:dyDescent="0.3">
      <c r="AN20" s="4">
        <f t="shared" si="0"/>
        <v>934</v>
      </c>
      <c r="AO20">
        <v>15</v>
      </c>
      <c r="AP20" s="4" cm="1">
        <f t="array" ref="AP20">PQ2nits((2055+65*AO20)/(2055+31*65))</f>
        <v>934.73630576927678</v>
      </c>
    </row>
    <row r="21" spans="2:54" x14ac:dyDescent="0.3">
      <c r="AN21" s="4">
        <f t="shared" si="0"/>
        <v>1082</v>
      </c>
      <c r="AO21">
        <v>16</v>
      </c>
      <c r="AP21" s="4" cm="1">
        <f t="array" ref="AP21">PQ2nits((2055+65*AO21)/(2055+31*65))</f>
        <v>1082.2176298226216</v>
      </c>
    </row>
    <row r="22" spans="2:54" x14ac:dyDescent="0.3">
      <c r="AN22" s="4">
        <f t="shared" si="0"/>
        <v>1252</v>
      </c>
      <c r="AO22">
        <v>17</v>
      </c>
      <c r="AP22" s="4" cm="1">
        <f t="array" ref="AP22">PQ2nits((2055+65*AO22)/(2055+31*65))</f>
        <v>1252.8373417551975</v>
      </c>
    </row>
    <row r="23" spans="2:54" x14ac:dyDescent="0.3">
      <c r="AN23" s="4">
        <f t="shared" si="0"/>
        <v>1450</v>
      </c>
      <c r="AO23">
        <v>18</v>
      </c>
      <c r="AP23" s="4" cm="1">
        <f t="array" ref="AP23">PQ2nits((2055+65*AO23)/(2055+31*65))</f>
        <v>1450.3085913304442</v>
      </c>
    </row>
    <row r="24" spans="2:54" x14ac:dyDescent="0.3">
      <c r="AN24" s="4">
        <f t="shared" si="0"/>
        <v>1678</v>
      </c>
      <c r="AO24">
        <v>19</v>
      </c>
      <c r="AP24" s="4" cm="1">
        <f t="array" ref="AP24">PQ2nits((2055+65*AO24)/(2055+31*65))</f>
        <v>1678.9673833059749</v>
      </c>
    </row>
    <row r="25" spans="2:54" x14ac:dyDescent="0.3">
      <c r="AN25" s="4">
        <f t="shared" si="0"/>
        <v>1943</v>
      </c>
      <c r="AO25">
        <v>20</v>
      </c>
      <c r="AP25" s="4" cm="1">
        <f t="array" ref="AP25">PQ2nits((2055+65*AO25)/(2055+31*65))</f>
        <v>1943.8833082164776</v>
      </c>
    </row>
    <row r="26" spans="2:54" x14ac:dyDescent="0.3">
      <c r="AN26" s="4">
        <f t="shared" si="0"/>
        <v>2250</v>
      </c>
      <c r="AO26">
        <v>21</v>
      </c>
      <c r="AP26" s="4" cm="1">
        <f t="array" ref="AP26">PQ2nits((2055+65*AO26)/(2055+31*65))</f>
        <v>2250.9912958813088</v>
      </c>
    </row>
    <row r="27" spans="2:54" x14ac:dyDescent="0.3">
      <c r="AN27" s="4">
        <f t="shared" si="0"/>
        <v>2607</v>
      </c>
      <c r="AO27">
        <v>22</v>
      </c>
      <c r="AP27" s="4" cm="1">
        <f t="array" ref="AP27">PQ2nits((2055+65*AO27)/(2055+31*65))</f>
        <v>2607.2486693335695</v>
      </c>
    </row>
    <row r="28" spans="2:54" x14ac:dyDescent="0.3">
      <c r="AN28" s="4">
        <f t="shared" si="0"/>
        <v>3020</v>
      </c>
      <c r="AO28">
        <v>23</v>
      </c>
      <c r="AP28" s="4" cm="1">
        <f t="array" ref="AP28">PQ2nits((2055+65*AO28)/(2055+31*65))</f>
        <v>3020.8227108925894</v>
      </c>
    </row>
    <row r="29" spans="2:54" x14ac:dyDescent="0.3">
      <c r="AN29" s="4">
        <f t="shared" si="0"/>
        <v>3501</v>
      </c>
      <c r="AO29">
        <v>24</v>
      </c>
      <c r="AP29" s="4" cm="1">
        <f t="array" ref="AP29">PQ2nits((2055+65*AO29)/(2055+31*65))</f>
        <v>3501.3151049329572</v>
      </c>
    </row>
    <row r="30" spans="2:54" x14ac:dyDescent="0.3">
      <c r="AN30" s="4">
        <f t="shared" si="0"/>
        <v>4060</v>
      </c>
      <c r="AO30">
        <v>25</v>
      </c>
      <c r="AP30" s="4" cm="1">
        <f t="array" ref="AP30">PQ2nits((2055+65*AO30)/(2055+31*65))</f>
        <v>4060.0310484963115</v>
      </c>
    </row>
    <row r="31" spans="2:54" x14ac:dyDescent="0.3">
      <c r="AN31" s="4">
        <f t="shared" si="0"/>
        <v>4710</v>
      </c>
      <c r="AO31">
        <v>26</v>
      </c>
      <c r="AP31" s="4" cm="1">
        <f t="array" ref="AP31">PQ2nits((2055+65*AO31)/(2055+31*65))</f>
        <v>4710.3025909539483</v>
      </c>
    </row>
    <row r="32" spans="2:54" x14ac:dyDescent="0.3">
      <c r="AN32" s="4">
        <f t="shared" si="0"/>
        <v>5467</v>
      </c>
      <c r="AO32">
        <v>27</v>
      </c>
      <c r="AP32" s="4" cm="1">
        <f t="array" ref="AP32">PQ2nits((2055+65*AO32)/(2055+31*65))</f>
        <v>5467.8779662038578</v>
      </c>
    </row>
    <row r="33" spans="40:42" x14ac:dyDescent="0.3">
      <c r="AN33" s="4">
        <f t="shared" si="0"/>
        <v>6351</v>
      </c>
      <c r="AO33">
        <v>28</v>
      </c>
      <c r="AP33" s="4" cm="1">
        <f t="array" ref="AP33">PQ2nits((2055+65*AO33)/(2055+31*65))</f>
        <v>6351.3914286654081</v>
      </c>
    </row>
    <row r="34" spans="40:42" x14ac:dyDescent="0.3">
      <c r="AN34" s="4">
        <f t="shared" si="0"/>
        <v>7382</v>
      </c>
      <c r="AO34">
        <v>29</v>
      </c>
      <c r="AP34" s="4" cm="1">
        <f t="array" ref="AP34">PQ2nits((2055+65*AO34)/(2055+31*65))</f>
        <v>7382.9315427440533</v>
      </c>
    </row>
    <row r="35" spans="40:42" x14ac:dyDescent="0.3">
      <c r="AN35" s="4">
        <f t="shared" si="0"/>
        <v>8588</v>
      </c>
      <c r="AO35">
        <v>30</v>
      </c>
      <c r="AP35" s="4" cm="1">
        <f t="array" ref="AP35">PQ2nits((2055+65*AO35)/(2055+31*65))</f>
        <v>8588.7301910478836</v>
      </c>
    </row>
    <row r="36" spans="40:42" x14ac:dyDescent="0.3">
      <c r="AN36" s="4">
        <f t="shared" si="0"/>
        <v>10000</v>
      </c>
      <c r="AO36">
        <v>31</v>
      </c>
      <c r="AP36" s="4" cm="1">
        <f t="array" ref="AP36">PQ2nits((2055+65*AO36)/(2055+31*65))</f>
        <v>10000</v>
      </c>
    </row>
  </sheetData>
  <sheetProtection sheet="1" objects="1" scenarios="1"/>
  <mergeCells count="8">
    <mergeCell ref="X5:Y5"/>
    <mergeCell ref="C6:G6"/>
    <mergeCell ref="H5:K5"/>
    <mergeCell ref="L5:N5"/>
    <mergeCell ref="O5:Q5"/>
    <mergeCell ref="R5:S5"/>
    <mergeCell ref="T5:U5"/>
    <mergeCell ref="V5:W5"/>
  </mergeCells>
  <conditionalFormatting sqref="N7">
    <cfRule type="expression" dxfId="3" priority="5">
      <formula>$J$7="Not Supported"</formula>
    </cfRule>
  </conditionalFormatting>
  <conditionalFormatting sqref="S7">
    <cfRule type="expression" dxfId="2" priority="4">
      <formula>$U$7="Supported"</formula>
    </cfRule>
  </conditionalFormatting>
  <conditionalFormatting sqref="U7">
    <cfRule type="expression" dxfId="1" priority="3">
      <formula>$S$7="Supported"</formula>
    </cfRule>
  </conditionalFormatting>
  <conditionalFormatting sqref="S7 U7">
    <cfRule type="expression" dxfId="0" priority="1" stopIfTrue="1">
      <formula>IF(AND($S$7="Supported",$U$7="Supported"),TRUE,FALSE)</formula>
    </cfRule>
  </conditionalFormatting>
  <dataValidations count="5">
    <dataValidation type="list" allowBlank="1" showInputMessage="1" showErrorMessage="1" sqref="J7:K7 M7 S7 U7" xr:uid="{7FEC5D88-C6EC-4251-B671-1BE4ACE3633B}">
      <formula1>"Supported, Not Supported"</formula1>
    </dataValidation>
    <dataValidation type="list" allowBlank="1" showInputMessage="1" showErrorMessage="1" sqref="N7" xr:uid="{F08005DB-62B1-466E-8C16-806C27DAF7DC}">
      <formula1>$AR$5:$AR$9</formula1>
    </dataValidation>
    <dataValidation type="list" allowBlank="1" showInputMessage="1" showErrorMessage="1" sqref="Q7" xr:uid="{536243BA-50E0-4F58-9EB4-50C6A18BC0EA}">
      <formula1>$AU$5:$AU$8</formula1>
    </dataValidation>
    <dataValidation type="list" allowBlank="1" showInputMessage="1" showErrorMessage="1" sqref="I3" xr:uid="{C575FEDF-137C-445A-A5C6-A70E6FF285BD}">
      <formula1>$AU$15:$AU$17</formula1>
    </dataValidation>
    <dataValidation type="list" allowBlank="1" showInputMessage="1" showErrorMessage="1" sqref="O7" xr:uid="{55176498-3EAA-419A-B48D-C5EE25135590}">
      <formula1>$AN$5:$AN$36</formula1>
    </dataValidation>
  </dataValidations>
  <pageMargins left="0.7" right="0.7" top="0.75" bottom="0.75" header="0.3" footer="0.3"/>
  <pageSetup orientation="portrait" horizontalDpi="0" verticalDpi="0" r:id="rId1"/>
  <ignoredErrors>
    <ignoredError sqref="T8" formula="1"/>
    <ignoredError sqref="L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6" r:id="rId4" name="Button 28">
              <controlPr defaultSize="0" print="0" autoFill="0" autoPict="0" macro="[0]!makeTheFWs">
                <anchor moveWithCells="1" sizeWithCells="1">
                  <from>
                    <xdr:col>10</xdr:col>
                    <xdr:colOff>585216</xdr:colOff>
                    <xdr:row>10</xdr:row>
                    <xdr:rowOff>109728</xdr:rowOff>
                  </from>
                  <to>
                    <xdr:col>13</xdr:col>
                    <xdr:colOff>351130</xdr:colOff>
                    <xdr:row>13</xdr:row>
                    <xdr:rowOff>146304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Patcher</vt:lpstr>
      <vt:lpstr>Custom FW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Nappi</dc:creator>
  <cp:lastModifiedBy>Chris Nappi</cp:lastModifiedBy>
  <dcterms:created xsi:type="dcterms:W3CDTF">2022-09-23T12:57:39Z</dcterms:created>
  <dcterms:modified xsi:type="dcterms:W3CDTF">2022-10-04T18:51:44Z</dcterms:modified>
</cp:coreProperties>
</file>