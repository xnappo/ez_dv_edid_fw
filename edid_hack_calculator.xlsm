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9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0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"/>
    </mc:Choice>
  </mc:AlternateContent>
  <xr:revisionPtr revIDLastSave="0" documentId="13_ncr:1_{94E7883D-4666-4F02-B69C-0AF45093B196}" xr6:coauthVersionLast="47" xr6:coauthVersionMax="47" xr10:uidLastSave="{00000000-0000-0000-0000-000000000000}"/>
  <bookViews>
    <workbookView xWindow="-108" yWindow="-108" windowWidth="23256" windowHeight="12456" firstSheet="6" activeTab="9" xr2:uid="{DE808AFE-8AFE-4111-8161-9EF8B03B2A2C}"/>
  </bookViews>
  <sheets>
    <sheet name="Patcher" sheetId="1" r:id="rId1"/>
    <sheet name="Custom DV" sheetId="5" r:id="rId2"/>
    <sheet name="Custom EDID-LS10500" sheetId="6" r:id="rId3"/>
    <sheet name="Custom EDID-VAVA" sheetId="7" r:id="rId4"/>
    <sheet name="Custom EDID-LS12000" sheetId="8" r:id="rId5"/>
    <sheet name="Custom EDID-JVC-RS400" sheetId="10" r:id="rId6"/>
    <sheet name="Custom EDID-Formovie T1" sheetId="11" r:id="rId7"/>
    <sheet name="Custom EDID-EpsonDH" sheetId="12" r:id="rId8"/>
    <sheet name="Custom EDID-LG HU810" sheetId="9" r:id="rId9"/>
    <sheet name="Custom EDID-Template" sheetId="13" r:id="rId10"/>
    <sheet name="EDID" sheetId="3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" i="13" l="1"/>
  <c r="C29" i="13"/>
  <c r="C27" i="13"/>
  <c r="C26" i="13"/>
  <c r="C25" i="13"/>
  <c r="C24" i="13"/>
  <c r="C23" i="13"/>
  <c r="C22" i="13"/>
  <c r="C21" i="13"/>
  <c r="C20" i="13"/>
  <c r="C19" i="13"/>
  <c r="C18" i="13"/>
  <c r="C17" i="13"/>
  <c r="C16" i="13"/>
  <c r="C15" i="13"/>
  <c r="C14" i="13"/>
  <c r="T8" i="13"/>
  <c r="S8" i="13"/>
  <c r="S5" i="13" s="1"/>
  <c r="AB21" i="13" s="1"/>
  <c r="P8" i="13"/>
  <c r="O8" i="13"/>
  <c r="O5" i="13" s="1"/>
  <c r="Z21" i="13" s="1"/>
  <c r="N8" i="13"/>
  <c r="L8" i="13"/>
  <c r="I8" i="13"/>
  <c r="H8" i="13"/>
  <c r="F8" i="13"/>
  <c r="C5" i="13" s="1"/>
  <c r="E8" i="13"/>
  <c r="T7" i="13"/>
  <c r="S7" i="13"/>
  <c r="R7" i="13"/>
  <c r="R8" i="13" s="1"/>
  <c r="Q7" i="13"/>
  <c r="Q8" i="13" s="1"/>
  <c r="Q5" i="13" s="1"/>
  <c r="AA21" i="13" s="1"/>
  <c r="O7" i="13"/>
  <c r="M7" i="13"/>
  <c r="M8" i="13" s="1"/>
  <c r="M5" i="13" s="1"/>
  <c r="Y21" i="13" s="1"/>
  <c r="C30" i="12"/>
  <c r="C29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S8" i="12"/>
  <c r="P8" i="12"/>
  <c r="O8" i="12"/>
  <c r="O5" i="12" s="1"/>
  <c r="Z21" i="12" s="1"/>
  <c r="N8" i="12"/>
  <c r="L8" i="12"/>
  <c r="I8" i="12"/>
  <c r="H8" i="12"/>
  <c r="F8" i="12"/>
  <c r="E8" i="12"/>
  <c r="T7" i="12"/>
  <c r="T8" i="12" s="1"/>
  <c r="S5" i="12" s="1"/>
  <c r="AB21" i="12" s="1"/>
  <c r="S7" i="12"/>
  <c r="R7" i="12"/>
  <c r="R8" i="12" s="1"/>
  <c r="Q7" i="12"/>
  <c r="Q8" i="12" s="1"/>
  <c r="Q5" i="12" s="1"/>
  <c r="AA21" i="12" s="1"/>
  <c r="O7" i="12"/>
  <c r="M7" i="12"/>
  <c r="M8" i="12" s="1"/>
  <c r="M5" i="12" s="1"/>
  <c r="Y21" i="12" s="1"/>
  <c r="Z22" i="11"/>
  <c r="AA22" i="11"/>
  <c r="AB22" i="11"/>
  <c r="AC22" i="11"/>
  <c r="F8" i="11"/>
  <c r="C30" i="11"/>
  <c r="C28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P8" i="11"/>
  <c r="N8" i="11"/>
  <c r="L8" i="11"/>
  <c r="I8" i="11"/>
  <c r="H8" i="11"/>
  <c r="E8" i="11"/>
  <c r="C5" i="11" s="1"/>
  <c r="W22" i="11" s="1"/>
  <c r="O5" i="11"/>
  <c r="M5" i="11"/>
  <c r="AJ20" i="10"/>
  <c r="AI20" i="10"/>
  <c r="AH20" i="10"/>
  <c r="AG20" i="10"/>
  <c r="AD20" i="10"/>
  <c r="C30" i="10"/>
  <c r="C29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Q8" i="10"/>
  <c r="P8" i="10"/>
  <c r="N8" i="10"/>
  <c r="M8" i="10"/>
  <c r="M5" i="10" s="1"/>
  <c r="L8" i="10"/>
  <c r="I8" i="10"/>
  <c r="H8" i="10"/>
  <c r="F8" i="10"/>
  <c r="E8" i="10"/>
  <c r="T7" i="10"/>
  <c r="T8" i="10" s="1"/>
  <c r="S7" i="10"/>
  <c r="S8" i="10" s="1"/>
  <c r="R7" i="10"/>
  <c r="R8" i="10" s="1"/>
  <c r="Q7" i="10"/>
  <c r="O7" i="10"/>
  <c r="O8" i="10" s="1"/>
  <c r="M7" i="10"/>
  <c r="O5" i="10"/>
  <c r="C5" i="10"/>
  <c r="C30" i="9"/>
  <c r="C29" i="9"/>
  <c r="C28" i="9"/>
  <c r="C25" i="9"/>
  <c r="C24" i="9"/>
  <c r="C23" i="9"/>
  <c r="C22" i="9"/>
  <c r="C21" i="9"/>
  <c r="C20" i="9"/>
  <c r="C19" i="9"/>
  <c r="C18" i="9"/>
  <c r="C17" i="9"/>
  <c r="C16" i="9"/>
  <c r="C15" i="9"/>
  <c r="C14" i="9"/>
  <c r="P8" i="9"/>
  <c r="N8" i="9"/>
  <c r="L8" i="9"/>
  <c r="I8" i="9"/>
  <c r="H8" i="9"/>
  <c r="F8" i="9"/>
  <c r="C5" i="9" s="1"/>
  <c r="AK19" i="9" s="1"/>
  <c r="E8" i="9"/>
  <c r="T7" i="9"/>
  <c r="T8" i="9" s="1"/>
  <c r="S7" i="9"/>
  <c r="S8" i="9" s="1"/>
  <c r="R7" i="9"/>
  <c r="R8" i="9" s="1"/>
  <c r="Q7" i="9"/>
  <c r="Q8" i="9" s="1"/>
  <c r="O7" i="9"/>
  <c r="O8" i="9" s="1"/>
  <c r="M7" i="9"/>
  <c r="M8" i="9" s="1"/>
  <c r="O5" i="9"/>
  <c r="Y20" i="9" s="1"/>
  <c r="C30" i="8"/>
  <c r="C29" i="8"/>
  <c r="C25" i="8"/>
  <c r="C24" i="8"/>
  <c r="C23" i="8"/>
  <c r="C22" i="8"/>
  <c r="C21" i="8"/>
  <c r="C20" i="8"/>
  <c r="C19" i="8"/>
  <c r="C18" i="8"/>
  <c r="C17" i="8"/>
  <c r="C16" i="8"/>
  <c r="C15" i="8"/>
  <c r="C14" i="8"/>
  <c r="P8" i="8"/>
  <c r="N8" i="8"/>
  <c r="L8" i="8"/>
  <c r="I8" i="8"/>
  <c r="H8" i="8"/>
  <c r="F8" i="8"/>
  <c r="E8" i="8"/>
  <c r="T7" i="8"/>
  <c r="T8" i="8" s="1"/>
  <c r="S7" i="8"/>
  <c r="S8" i="8" s="1"/>
  <c r="R7" i="8"/>
  <c r="R8" i="8" s="1"/>
  <c r="Q7" i="8"/>
  <c r="Q8" i="8" s="1"/>
  <c r="O7" i="8"/>
  <c r="O8" i="8" s="1"/>
  <c r="M7" i="8"/>
  <c r="M8" i="8" s="1"/>
  <c r="C5" i="8"/>
  <c r="AL20" i="8" s="1"/>
  <c r="C15" i="6"/>
  <c r="C14" i="6"/>
  <c r="C30" i="7"/>
  <c r="C29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AL21" i="7"/>
  <c r="AK21" i="7"/>
  <c r="AF21" i="7"/>
  <c r="AH19" i="6"/>
  <c r="P8" i="7"/>
  <c r="N8" i="7"/>
  <c r="L8" i="7"/>
  <c r="I8" i="7"/>
  <c r="H8" i="7"/>
  <c r="F8" i="7"/>
  <c r="E8" i="7"/>
  <c r="T7" i="7"/>
  <c r="T8" i="7" s="1"/>
  <c r="S7" i="7"/>
  <c r="S8" i="7" s="1"/>
  <c r="R7" i="7"/>
  <c r="R8" i="7" s="1"/>
  <c r="Q7" i="7"/>
  <c r="Q8" i="7" s="1"/>
  <c r="O7" i="7"/>
  <c r="O8" i="7" s="1"/>
  <c r="M7" i="7"/>
  <c r="M8" i="7" s="1"/>
  <c r="C30" i="6"/>
  <c r="C29" i="6"/>
  <c r="C28" i="6"/>
  <c r="C25" i="6"/>
  <c r="C24" i="6"/>
  <c r="C23" i="6"/>
  <c r="C22" i="6"/>
  <c r="C21" i="6"/>
  <c r="C20" i="6"/>
  <c r="C19" i="6"/>
  <c r="C18" i="6"/>
  <c r="C17" i="6"/>
  <c r="C16" i="6"/>
  <c r="P8" i="6"/>
  <c r="N8" i="6"/>
  <c r="L8" i="6"/>
  <c r="I8" i="6"/>
  <c r="H8" i="6"/>
  <c r="F8" i="6"/>
  <c r="E8" i="6"/>
  <c r="T7" i="6"/>
  <c r="T8" i="6" s="1"/>
  <c r="S7" i="6"/>
  <c r="S8" i="6" s="1"/>
  <c r="S5" i="6" s="1"/>
  <c r="X20" i="6" s="1"/>
  <c r="R7" i="6"/>
  <c r="R8" i="6" s="1"/>
  <c r="Q7" i="6"/>
  <c r="Q8" i="6" s="1"/>
  <c r="O7" i="6"/>
  <c r="O8" i="6" s="1"/>
  <c r="O5" i="6" s="1"/>
  <c r="AL19" i="6" s="1"/>
  <c r="M7" i="6"/>
  <c r="M8" i="6" s="1"/>
  <c r="M5" i="6" s="1"/>
  <c r="AK19" i="6" s="1"/>
  <c r="C5" i="6"/>
  <c r="AP35" i="13" a="1"/>
  <c r="AQ33" i="13" a="1"/>
  <c r="AP31" i="13" a="1"/>
  <c r="AP19" i="13" a="1"/>
  <c r="AP18" i="13" a="1"/>
  <c r="AP17" i="13" a="1"/>
  <c r="AP16" i="13" a="1"/>
  <c r="AP15" i="13" a="1"/>
  <c r="AP14" i="13" a="1"/>
  <c r="AP13" i="13" a="1"/>
  <c r="AQ10" i="13" a="1"/>
  <c r="AP8" i="13" a="1"/>
  <c r="AP7" i="13" a="1"/>
  <c r="AP5" i="13" a="1"/>
  <c r="AQ36" i="13" a="1"/>
  <c r="AP34" i="13" a="1"/>
  <c r="AQ32" i="13" a="1"/>
  <c r="AP30" i="13" a="1"/>
  <c r="AP29" i="13" a="1"/>
  <c r="AP28" i="13" a="1"/>
  <c r="AP27" i="13" a="1"/>
  <c r="AP26" i="13" a="1"/>
  <c r="AP25" i="13" a="1"/>
  <c r="AP24" i="13" a="1"/>
  <c r="AP23" i="13" a="1"/>
  <c r="AP22" i="13" a="1"/>
  <c r="AP21" i="13" a="1"/>
  <c r="AQ20" i="13" a="1"/>
  <c r="AQ12" i="13" a="1"/>
  <c r="AP11" i="13" a="1"/>
  <c r="AQ9" i="13" a="1"/>
  <c r="AP33" i="13" a="1"/>
  <c r="AQ31" i="13" a="1"/>
  <c r="AQ29" i="13" a="1"/>
  <c r="G27" i="13" a="1"/>
  <c r="AQ24" i="13" a="1"/>
  <c r="G23" i="13" a="1"/>
  <c r="AQ18" i="13" a="1"/>
  <c r="G17" i="13" a="1"/>
  <c r="AQ14" i="13" a="1"/>
  <c r="AQ11" i="13" a="1"/>
  <c r="AP6" i="13" a="1"/>
  <c r="AP36" i="13" a="1"/>
  <c r="AQ34" i="13" a="1"/>
  <c r="AQ28" i="13" a="1"/>
  <c r="AQ27" i="13" a="1"/>
  <c r="G26" i="13" a="1"/>
  <c r="AQ23" i="13" a="1"/>
  <c r="G22" i="13" a="1"/>
  <c r="G20" i="13" a="1"/>
  <c r="AQ17" i="13" a="1"/>
  <c r="G16" i="13" a="1"/>
  <c r="AQ13" i="13" a="1"/>
  <c r="AQ7" i="13" a="1"/>
  <c r="AQ35" i="13" a="1"/>
  <c r="G30" i="13" a="1"/>
  <c r="AQ26" i="13" a="1"/>
  <c r="G25" i="13" a="1"/>
  <c r="AQ22" i="13" a="1"/>
  <c r="G19" i="13" a="1"/>
  <c r="AQ16" i="13" a="1"/>
  <c r="G15" i="13" a="1"/>
  <c r="AP12" i="13" a="1"/>
  <c r="AP9" i="13" a="1"/>
  <c r="AQ6" i="13" a="1"/>
  <c r="AQ5" i="13" a="1"/>
  <c r="AP32" i="13" a="1"/>
  <c r="AQ30" i="13" a="1"/>
  <c r="G29" i="13" a="1"/>
  <c r="AQ25" i="13" a="1"/>
  <c r="G24" i="13" a="1"/>
  <c r="AQ21" i="13" a="1"/>
  <c r="AP20" i="13" a="1"/>
  <c r="AQ19" i="13" a="1"/>
  <c r="G18" i="13" a="1"/>
  <c r="AQ15" i="13" a="1"/>
  <c r="G14" i="13" a="1"/>
  <c r="AP10" i="13" a="1"/>
  <c r="AQ8" i="13" a="1"/>
  <c r="G21" i="13" a="1"/>
  <c r="AP32" i="5" a="1"/>
  <c r="AP16" i="5" a="1"/>
  <c r="AQ36" i="5" a="1"/>
  <c r="AQ32" i="5" a="1"/>
  <c r="AQ28" i="5" a="1"/>
  <c r="AQ24" i="5" a="1"/>
  <c r="AQ20" i="5" a="1"/>
  <c r="AQ16" i="5" a="1"/>
  <c r="AQ12" i="5" a="1"/>
  <c r="AQ7" i="5" a="1"/>
  <c r="AP27" i="5" a="1"/>
  <c r="AP15" i="5" a="1"/>
  <c r="AP36" i="5" a="1"/>
  <c r="AP30" i="5" a="1"/>
  <c r="AP23" i="5" a="1"/>
  <c r="AP10" i="5" a="1"/>
  <c r="AQ34" i="5" a="1"/>
  <c r="AQ30" i="5" a="1"/>
  <c r="AQ26" i="5" a="1"/>
  <c r="AQ22" i="5" a="1"/>
  <c r="AQ18" i="5" a="1"/>
  <c r="AQ14" i="5" a="1"/>
  <c r="AQ9" i="5" a="1"/>
  <c r="AQ5" i="5" a="1"/>
  <c r="AP21" i="5" a="1"/>
  <c r="AP9" i="5" a="1"/>
  <c r="AP34" i="5" a="1"/>
  <c r="AP28" i="5" a="1"/>
  <c r="AP17" i="5" a="1"/>
  <c r="AP5" i="5" a="1"/>
  <c r="AP35" i="6" a="1"/>
  <c r="AP28" i="6" a="1"/>
  <c r="AP20" i="6" a="1"/>
  <c r="AP12" i="6" a="1"/>
  <c r="AQ36" i="6" a="1"/>
  <c r="AQ32" i="6" a="1"/>
  <c r="AQ28" i="6" a="1"/>
  <c r="AQ24" i="6" a="1"/>
  <c r="AQ19" i="6" a="1"/>
  <c r="AQ15" i="6" a="1"/>
  <c r="AQ11" i="6" a="1"/>
  <c r="AQ5" i="6" a="1"/>
  <c r="AP29" i="6" a="1"/>
  <c r="AP21" i="6" a="1"/>
  <c r="AP13" i="6" a="1"/>
  <c r="AP5" i="6" a="1"/>
  <c r="AQ12" i="7" a="1"/>
  <c r="AQ5" i="7" a="1"/>
  <c r="AP9" i="7" a="1"/>
  <c r="AQ34" i="7" a="1"/>
  <c r="AQ30" i="7" a="1"/>
  <c r="AQ25" i="7" a="1"/>
  <c r="AQ21" i="7" a="1"/>
  <c r="AQ16" i="7" a="1"/>
  <c r="AQ9" i="7" a="1"/>
  <c r="AP8" i="7" a="1"/>
  <c r="AP33" i="7" a="1"/>
  <c r="AP29" i="7" a="1"/>
  <c r="AP25" i="7" a="1"/>
  <c r="AP21" i="7" a="1"/>
  <c r="AP15" i="7" a="1"/>
  <c r="AP5" i="7" a="1"/>
  <c r="AP31" i="8" a="1"/>
  <c r="AP22" i="8" a="1"/>
  <c r="AP14" i="8" a="1"/>
  <c r="AP5" i="8" a="1"/>
  <c r="AQ33" i="8" a="1"/>
  <c r="AQ29" i="8" a="1"/>
  <c r="AQ25" i="8" a="1"/>
  <c r="AQ21" i="8" a="1"/>
  <c r="AQ17" i="8" a="1"/>
  <c r="AQ13" i="8" a="1"/>
  <c r="AQ8" i="8" a="1"/>
  <c r="AP36" i="8" a="1"/>
  <c r="AP29" i="8" a="1"/>
  <c r="AP21" i="8" a="1"/>
  <c r="AP13" i="8" a="1"/>
  <c r="AP6" i="8" a="1"/>
  <c r="AQ22" i="10" a="1"/>
  <c r="AQ14" i="10" a="1"/>
  <c r="AQ7" i="10" a="1"/>
  <c r="AP6" i="10" a="1"/>
  <c r="AQ32" i="10" a="1"/>
  <c r="AQ28" i="10" a="1"/>
  <c r="AQ21" i="10" a="1"/>
  <c r="AQ13" i="10" a="1"/>
  <c r="AP12" i="10" a="1"/>
  <c r="AP34" i="10" a="1"/>
  <c r="AP30" i="10" a="1"/>
  <c r="AP26" i="10" a="1"/>
  <c r="AP22" i="10" a="1"/>
  <c r="AP18" i="10" a="1"/>
  <c r="AP13" i="10" a="1"/>
  <c r="AP5" i="10" a="1"/>
  <c r="AQ19" i="11" a="1"/>
  <c r="AQ11" i="5" a="1"/>
  <c r="AP20" i="5" a="1"/>
  <c r="AP7" i="5" a="1"/>
  <c r="AQ33" i="5" a="1"/>
  <c r="AQ29" i="5" a="1"/>
  <c r="AQ25" i="5" a="1"/>
  <c r="AQ21" i="5" a="1"/>
  <c r="AQ17" i="5" a="1"/>
  <c r="AQ13" i="5" a="1"/>
  <c r="AQ8" i="5" a="1"/>
  <c r="AP31" i="5" a="1"/>
  <c r="AP18" i="5" a="1"/>
  <c r="AP6" i="5" a="1"/>
  <c r="AP33" i="5" a="1"/>
  <c r="AP25" i="5" a="1"/>
  <c r="AP14" i="5" a="1"/>
  <c r="AQ22" i="6" a="1"/>
  <c r="AP34" i="6" a="1"/>
  <c r="AP26" i="6" a="1"/>
  <c r="AP18" i="6" a="1"/>
  <c r="AP10" i="6" a="1"/>
  <c r="AQ35" i="6" a="1"/>
  <c r="AQ31" i="6" a="1"/>
  <c r="AQ27" i="6" a="1"/>
  <c r="AQ23" i="6" a="1"/>
  <c r="AQ18" i="6" a="1"/>
  <c r="AQ14" i="6" a="1"/>
  <c r="AQ9" i="6" a="1"/>
  <c r="AP36" i="6" a="1"/>
  <c r="AP27" i="6" a="1"/>
  <c r="AP19" i="6" a="1"/>
  <c r="AP11" i="6" a="1"/>
  <c r="AQ27" i="7" a="1"/>
  <c r="AQ10" i="7" a="1"/>
  <c r="AP19" i="7" a="1"/>
  <c r="AP6" i="7" a="1"/>
  <c r="AQ33" i="7" a="1"/>
  <c r="AQ29" i="7" a="1"/>
  <c r="AQ24" i="7" a="1"/>
  <c r="AQ20" i="7" a="1"/>
  <c r="AQ15" i="7" a="1"/>
  <c r="AQ7" i="7" a="1"/>
  <c r="AP36" i="7" a="1"/>
  <c r="AP32" i="7" a="1"/>
  <c r="AP28" i="7" a="1"/>
  <c r="AP24" i="7" a="1"/>
  <c r="AP20" i="7" a="1"/>
  <c r="AP13" i="7" a="1"/>
  <c r="AQ12" i="8" a="1"/>
  <c r="AP28" i="8" a="1"/>
  <c r="AP20" i="8" a="1"/>
  <c r="AP11" i="8" a="1"/>
  <c r="AQ36" i="8" a="1"/>
  <c r="AQ32" i="8" a="1"/>
  <c r="AQ28" i="8" a="1"/>
  <c r="AQ24" i="8" a="1"/>
  <c r="AQ20" i="8" a="1"/>
  <c r="AQ16" i="8" a="1"/>
  <c r="AQ11" i="8" a="1"/>
  <c r="AQ7" i="8" a="1"/>
  <c r="AP34" i="8" a="1"/>
  <c r="AP27" i="8" a="1"/>
  <c r="AP19" i="8" a="1"/>
  <c r="AP12" i="8" a="1"/>
  <c r="AQ34" i="10" a="1"/>
  <c r="AQ20" i="10" a="1"/>
  <c r="AQ12" i="10" a="1"/>
  <c r="AQ5" i="10" a="1"/>
  <c r="AQ36" i="10" a="1"/>
  <c r="AQ31" i="10" a="1"/>
  <c r="AQ26" i="10" a="1"/>
  <c r="AQ19" i="10" a="1"/>
  <c r="AQ11" i="10" a="1"/>
  <c r="AP7" i="10" a="1"/>
  <c r="AP33" i="10" a="1"/>
  <c r="AP29" i="10" a="1"/>
  <c r="AP25" i="10" a="1"/>
  <c r="AP21" i="10" a="1"/>
  <c r="AP17" i="10" a="1"/>
  <c r="AP11" i="10" a="1"/>
  <c r="AQ31" i="11" a="1"/>
  <c r="AQ17" i="11" a="1"/>
  <c r="AQ9" i="11" a="1"/>
  <c r="AP12" i="11" a="1"/>
  <c r="AQ35" i="11" a="1"/>
  <c r="AQ30" i="11" a="1"/>
  <c r="AQ26" i="11" a="1"/>
  <c r="AQ20" i="11" a="1"/>
  <c r="AQ12" i="11" a="1"/>
  <c r="AP14" i="11" a="1"/>
  <c r="AP35" i="11" a="1"/>
  <c r="AP31" i="11" a="1"/>
  <c r="AP27" i="11" a="1"/>
  <c r="AP23" i="11" a="1"/>
  <c r="AP19" i="11" a="1"/>
  <c r="AP13" i="11" a="1"/>
  <c r="AQ14" i="12" a="1"/>
  <c r="AP28" i="12" a="1"/>
  <c r="AP19" i="12" a="1"/>
  <c r="AP11" i="12" a="1"/>
  <c r="AQ35" i="12" a="1"/>
  <c r="AQ31" i="12" a="1"/>
  <c r="AQ27" i="12" a="1"/>
  <c r="AQ23" i="12" a="1"/>
  <c r="AQ19" i="12" a="1"/>
  <c r="AQ15" i="12" a="1"/>
  <c r="AQ10" i="12" a="1"/>
  <c r="AQ6" i="12" a="1"/>
  <c r="AP32" i="12" a="1"/>
  <c r="AP25" i="12" a="1"/>
  <c r="AP18" i="12" a="1"/>
  <c r="AP10" i="12" a="1"/>
  <c r="AQ6" i="9" a="1"/>
  <c r="AQ14" i="9" a="1"/>
  <c r="AQ22" i="9" a="1"/>
  <c r="AQ30" i="9" a="1"/>
  <c r="AQ7" i="9" a="1"/>
  <c r="AQ15" i="9" a="1"/>
  <c r="AQ23" i="9" a="1"/>
  <c r="AQ31" i="9" a="1"/>
  <c r="G22" i="11" a="1"/>
  <c r="AP10" i="9" a="1"/>
  <c r="AP11" i="9" a="1"/>
  <c r="AP25" i="9" a="1"/>
  <c r="AP26" i="5" a="1"/>
  <c r="AQ27" i="5" a="1"/>
  <c r="AQ10" i="5" a="1"/>
  <c r="AP35" i="5" a="1"/>
  <c r="AP11" i="5" a="1"/>
  <c r="AP32" i="6" a="1"/>
  <c r="AP16" i="6" a="1"/>
  <c r="AQ34" i="6" a="1"/>
  <c r="AQ26" i="6" a="1"/>
  <c r="AQ17" i="6" a="1"/>
  <c r="AQ8" i="6" a="1"/>
  <c r="AP25" i="6" a="1"/>
  <c r="AP9" i="6" a="1"/>
  <c r="AQ8" i="7" a="1"/>
  <c r="AQ36" i="7" a="1"/>
  <c r="AQ28" i="7" a="1"/>
  <c r="AQ19" i="7" a="1"/>
  <c r="AP17" i="7" a="1"/>
  <c r="AP31" i="7" a="1"/>
  <c r="AP23" i="7" a="1"/>
  <c r="AP10" i="7" a="1"/>
  <c r="AP26" i="8" a="1"/>
  <c r="AP9" i="8" a="1"/>
  <c r="AQ31" i="8" a="1"/>
  <c r="AQ23" i="8" a="1"/>
  <c r="AQ15" i="8" a="1"/>
  <c r="AQ6" i="8" a="1"/>
  <c r="AP25" i="8" a="1"/>
  <c r="AP10" i="8" a="1"/>
  <c r="AQ18" i="10" a="1"/>
  <c r="AP14" i="10" a="1"/>
  <c r="AQ30" i="10" a="1"/>
  <c r="AQ17" i="10" a="1"/>
  <c r="AP36" i="10" a="1"/>
  <c r="AP28" i="10" a="1"/>
  <c r="AP20" i="10" a="1"/>
  <c r="AP10" i="10" a="1"/>
  <c r="AQ16" i="11" a="1"/>
  <c r="AQ5" i="11" a="1"/>
  <c r="AQ36" i="11" a="1"/>
  <c r="AQ29" i="11" a="1"/>
  <c r="AQ23" i="11" a="1"/>
  <c r="AQ13" i="11" a="1"/>
  <c r="AP8" i="11" a="1"/>
  <c r="AP33" i="11" a="1"/>
  <c r="AP28" i="11" a="1"/>
  <c r="AP22" i="11" a="1"/>
  <c r="AP17" i="11" a="1"/>
  <c r="AP7" i="11" a="1"/>
  <c r="AP26" i="12" a="1"/>
  <c r="AP15" i="12" a="1"/>
  <c r="AQ36" i="12" a="1"/>
  <c r="AQ30" i="12" a="1"/>
  <c r="AQ25" i="12" a="1"/>
  <c r="AQ20" i="12" a="1"/>
  <c r="AQ13" i="12" a="1"/>
  <c r="AQ8" i="12" a="1"/>
  <c r="AP34" i="12" a="1"/>
  <c r="AP24" i="12" a="1"/>
  <c r="AP14" i="12" a="1"/>
  <c r="AP5" i="12" a="1"/>
  <c r="AQ16" i="9" a="1"/>
  <c r="AQ26" i="9" a="1"/>
  <c r="AQ36" i="9" a="1"/>
  <c r="AQ17" i="9" a="1"/>
  <c r="AQ27" i="9" a="1"/>
  <c r="AQ5" i="9" a="1"/>
  <c r="G20" i="10" a="1"/>
  <c r="G23" i="9" a="1"/>
  <c r="G25" i="6" a="1"/>
  <c r="G26" i="7" a="1"/>
  <c r="G16" i="6" a="1"/>
  <c r="AP9" i="9" a="1"/>
  <c r="G25" i="9" a="1"/>
  <c r="G30" i="11" a="1"/>
  <c r="G19" i="9" a="1"/>
  <c r="G30" i="7" a="1"/>
  <c r="G30" i="10" a="1"/>
  <c r="G23" i="7" a="1"/>
  <c r="G18" i="10" a="1"/>
  <c r="G24" i="11" a="1"/>
  <c r="G20" i="8" a="1"/>
  <c r="AP36" i="9" a="1"/>
  <c r="G29" i="6" a="1"/>
  <c r="G22" i="6" a="1"/>
  <c r="G24" i="12" a="1"/>
  <c r="G24" i="9" a="1"/>
  <c r="AP35" i="9" a="1"/>
  <c r="G21" i="6" a="1"/>
  <c r="G15" i="8" a="1"/>
  <c r="G20" i="12" a="1"/>
  <c r="G18" i="12" a="1"/>
  <c r="G14" i="7" a="1"/>
  <c r="AP6" i="9" a="1"/>
  <c r="AP23" i="9" a="1"/>
  <c r="G25" i="10" a="1"/>
  <c r="G23" i="10" a="1"/>
  <c r="AP7" i="9" a="1"/>
  <c r="G23" i="12" a="1"/>
  <c r="G27" i="7" a="1"/>
  <c r="G17" i="8" a="1"/>
  <c r="G25" i="8" a="1"/>
  <c r="G24" i="6" a="1"/>
  <c r="AQ19" i="5" a="1"/>
  <c r="AP22" i="5" a="1"/>
  <c r="AQ10" i="6" a="1"/>
  <c r="AP8" i="6" a="1"/>
  <c r="AQ21" i="6" a="1"/>
  <c r="AP33" i="6" a="1"/>
  <c r="AQ17" i="7" a="1"/>
  <c r="AQ32" i="7" a="1"/>
  <c r="AQ13" i="7" a="1"/>
  <c r="AP27" i="7" a="1"/>
  <c r="AP18" i="8" a="1"/>
  <c r="AQ27" i="8" a="1"/>
  <c r="AQ10" i="8" a="1"/>
  <c r="AP17" i="8" a="1"/>
  <c r="AQ10" i="10" a="1"/>
  <c r="AQ25" i="10" a="1"/>
  <c r="AP32" i="10" a="1"/>
  <c r="AP16" i="10" a="1"/>
  <c r="AQ11" i="11" a="1"/>
  <c r="AQ33" i="11" a="1"/>
  <c r="AQ18" i="11" a="1"/>
  <c r="AP36" i="11" a="1"/>
  <c r="AP25" i="11" a="1"/>
  <c r="AP13" i="5" a="1"/>
  <c r="AQ23" i="5" a="1"/>
  <c r="AQ6" i="5" a="1"/>
  <c r="AP29" i="5" a="1"/>
  <c r="AP8" i="5" a="1"/>
  <c r="AP30" i="6" a="1"/>
  <c r="AP14" i="6" a="1"/>
  <c r="AQ33" i="6" a="1"/>
  <c r="AQ25" i="6" a="1"/>
  <c r="AQ16" i="6" a="1"/>
  <c r="AQ7" i="6" a="1"/>
  <c r="AP23" i="6" a="1"/>
  <c r="AP7" i="6" a="1"/>
  <c r="AQ6" i="7" a="1"/>
  <c r="AQ35" i="7" a="1"/>
  <c r="AQ26" i="7" a="1"/>
  <c r="AQ18" i="7" a="1"/>
  <c r="AP11" i="7" a="1"/>
  <c r="AP30" i="7" a="1"/>
  <c r="AP22" i="7" a="1"/>
  <c r="AP7" i="7" a="1"/>
  <c r="AP24" i="8" a="1"/>
  <c r="AP7" i="8" a="1"/>
  <c r="AQ30" i="8" a="1"/>
  <c r="AQ22" i="8" a="1"/>
  <c r="AQ14" i="8" a="1"/>
  <c r="AQ5" i="8" a="1"/>
  <c r="AP23" i="8" a="1"/>
  <c r="AP8" i="8" a="1"/>
  <c r="AQ16" i="10" a="1"/>
  <c r="AP9" i="10" a="1"/>
  <c r="AQ29" i="10" a="1"/>
  <c r="AQ15" i="10" a="1"/>
  <c r="AP35" i="10" a="1"/>
  <c r="AP27" i="10" a="1"/>
  <c r="AP19" i="10" a="1"/>
  <c r="AP8" i="10" a="1"/>
  <c r="AQ14" i="11" a="1"/>
  <c r="AP16" i="11" a="1"/>
  <c r="AQ34" i="11" a="1"/>
  <c r="AQ28" i="11" a="1"/>
  <c r="AQ22" i="11" a="1"/>
  <c r="AQ10" i="11" a="1"/>
  <c r="AP5" i="11" a="1"/>
  <c r="AP32" i="11" a="1"/>
  <c r="AP26" i="11" a="1"/>
  <c r="AP21" i="11" a="1"/>
  <c r="AP15" i="11" a="1"/>
  <c r="AP35" i="12" a="1"/>
  <c r="AP23" i="12" a="1"/>
  <c r="AP13" i="12" a="1"/>
  <c r="AQ34" i="12" a="1"/>
  <c r="AQ29" i="12" a="1"/>
  <c r="AQ24" i="12" a="1"/>
  <c r="AQ18" i="12" a="1"/>
  <c r="AQ12" i="12" a="1"/>
  <c r="AQ7" i="12" a="1"/>
  <c r="AP31" i="12" a="1"/>
  <c r="AP22" i="12" a="1"/>
  <c r="AP12" i="12" a="1"/>
  <c r="AQ8" i="9" a="1"/>
  <c r="AQ18" i="9" a="1"/>
  <c r="AQ28" i="9" a="1"/>
  <c r="AQ9" i="9" a="1"/>
  <c r="AQ19" i="9" a="1"/>
  <c r="AQ29" i="9" a="1"/>
  <c r="G17" i="11" a="1"/>
  <c r="AP12" i="9" a="1"/>
  <c r="G17" i="9" a="1"/>
  <c r="G15" i="6" a="1"/>
  <c r="G15" i="10" a="1"/>
  <c r="G28" i="9" a="1"/>
  <c r="G22" i="8" a="1"/>
  <c r="G14" i="10" a="1"/>
  <c r="G21" i="11" a="1"/>
  <c r="G16" i="9" a="1"/>
  <c r="AP34" i="9" a="1"/>
  <c r="AP16" i="9" a="1"/>
  <c r="AP33" i="9" a="1"/>
  <c r="G29" i="12" a="1"/>
  <c r="G20" i="11" a="1"/>
  <c r="AP15" i="9" a="1"/>
  <c r="G19" i="7" a="1"/>
  <c r="G21" i="9" a="1"/>
  <c r="G22" i="10" a="1"/>
  <c r="G16" i="12" a="1"/>
  <c r="G19" i="8" a="1"/>
  <c r="AP30" i="9" a="1"/>
  <c r="G17" i="10" a="1"/>
  <c r="G29" i="8" a="1"/>
  <c r="G19" i="12" a="1"/>
  <c r="G17" i="12" a="1"/>
  <c r="G18" i="6" a="1"/>
  <c r="G22" i="9" a="1"/>
  <c r="G15" i="7" a="1"/>
  <c r="G14" i="11" a="1"/>
  <c r="AP24" i="9" a="1"/>
  <c r="AQ35" i="5" a="1"/>
  <c r="AP24" i="5" a="1"/>
  <c r="AP24" i="6" a="1"/>
  <c r="AQ30" i="6" a="1"/>
  <c r="AQ13" i="6" a="1"/>
  <c r="AP17" i="6" a="1"/>
  <c r="AP14" i="7" a="1"/>
  <c r="AQ23" i="7" a="1"/>
  <c r="AP35" i="7" a="1"/>
  <c r="AP18" i="7" a="1"/>
  <c r="AP35" i="8" a="1"/>
  <c r="AQ35" i="8" a="1"/>
  <c r="AQ19" i="8" a="1"/>
  <c r="AP32" i="8" a="1"/>
  <c r="AQ27" i="10" a="1"/>
  <c r="AQ35" i="10" a="1"/>
  <c r="AQ8" i="10" a="1"/>
  <c r="AP24" i="10" a="1"/>
  <c r="AQ24" i="11" a="1"/>
  <c r="AP10" i="11" a="1"/>
  <c r="AQ27" i="11" a="1"/>
  <c r="AQ8" i="11" a="1"/>
  <c r="AP30" i="11" a="1"/>
  <c r="AP20" i="11" a="1"/>
  <c r="AQ15" i="5" a="1"/>
  <c r="AP22" i="6" a="1"/>
  <c r="AQ12" i="6" a="1"/>
  <c r="AP12" i="7" a="1"/>
  <c r="AP34" i="7" a="1"/>
  <c r="AP16" i="8" a="1"/>
  <c r="AQ9" i="8" a="1"/>
  <c r="AQ9" i="10" a="1"/>
  <c r="AP31" i="10" a="1"/>
  <c r="AQ7" i="11" a="1"/>
  <c r="AQ15" i="11" a="1"/>
  <c r="AP24" i="11" a="1"/>
  <c r="AP33" i="12" a="1"/>
  <c r="AP8" i="12" a="1"/>
  <c r="AQ28" i="12" a="1"/>
  <c r="AQ17" i="12" a="1"/>
  <c r="AQ5" i="12" a="1"/>
  <c r="AP20" i="12" a="1"/>
  <c r="AQ10" i="9" a="1"/>
  <c r="AQ32" i="9" a="1"/>
  <c r="AQ21" i="9" a="1"/>
  <c r="G23" i="11" a="1"/>
  <c r="G16" i="7" a="1"/>
  <c r="AP28" i="9" a="1"/>
  <c r="AP31" i="9" a="1"/>
  <c r="G15" i="11" a="1"/>
  <c r="AP19" i="9" a="1"/>
  <c r="AP22" i="9" a="1"/>
  <c r="G24" i="8" a="1"/>
  <c r="G21" i="8" a="1"/>
  <c r="G18" i="9" a="1"/>
  <c r="G21" i="10" a="1"/>
  <c r="G24" i="7" a="1"/>
  <c r="G30" i="12" a="1"/>
  <c r="AP32" i="9" a="1"/>
  <c r="G15" i="9" a="1"/>
  <c r="G29" i="9" a="1"/>
  <c r="AP13" i="9" a="1"/>
  <c r="G28" i="6" a="1"/>
  <c r="G17" i="7" a="1"/>
  <c r="G28" i="11" a="1"/>
  <c r="AQ29" i="6" a="1"/>
  <c r="AQ22" i="7" a="1"/>
  <c r="AQ26" i="8" a="1"/>
  <c r="AQ23" i="10" a="1"/>
  <c r="AQ32" i="11" a="1"/>
  <c r="AP11" i="11" a="1"/>
  <c r="AQ33" i="12" a="1"/>
  <c r="AQ22" i="12" a="1"/>
  <c r="AP29" i="12" a="1"/>
  <c r="AQ20" i="9" a="1"/>
  <c r="AQ33" i="9" a="1"/>
  <c r="G19" i="6" a="1"/>
  <c r="AP20" i="9" a="1"/>
  <c r="AP26" i="9" a="1"/>
  <c r="G14" i="6" a="1"/>
  <c r="G14" i="9" a="1"/>
  <c r="G15" i="12" a="1"/>
  <c r="G23" i="6" a="1"/>
  <c r="G20" i="9" a="1"/>
  <c r="G27" i="8" a="1"/>
  <c r="AP14" i="9" a="1"/>
  <c r="AQ31" i="5" a="1"/>
  <c r="AQ20" i="6" a="1"/>
  <c r="AQ11" i="7" a="1"/>
  <c r="AQ18" i="8" a="1"/>
  <c r="AQ6" i="10" a="1"/>
  <c r="AQ25" i="11" a="1"/>
  <c r="AP17" i="12" a="1"/>
  <c r="AQ21" i="12" a="1"/>
  <c r="AP27" i="12" a="1"/>
  <c r="AQ24" i="9" a="1"/>
  <c r="AP5" i="9" a="1"/>
  <c r="G19" i="11" a="1"/>
  <c r="G30" i="6" a="1"/>
  <c r="G30" i="8" a="1"/>
  <c r="G18" i="7" a="1"/>
  <c r="G19" i="10" a="1"/>
  <c r="G27" i="12" a="1"/>
  <c r="AP12" i="5" a="1"/>
  <c r="AP6" i="6" a="1"/>
  <c r="AP31" i="6" a="1"/>
  <c r="AQ31" i="7" a="1"/>
  <c r="AP26" i="7" a="1"/>
  <c r="AQ34" i="8" a="1"/>
  <c r="AP30" i="8" a="1"/>
  <c r="AQ33" i="10" a="1"/>
  <c r="AP23" i="10" a="1"/>
  <c r="AP6" i="11" a="1"/>
  <c r="AQ6" i="11" a="1"/>
  <c r="AP18" i="11" a="1"/>
  <c r="AP30" i="12" a="1"/>
  <c r="AP6" i="12" a="1"/>
  <c r="AQ26" i="12" a="1"/>
  <c r="AQ16" i="12" a="1"/>
  <c r="AP36" i="12" a="1"/>
  <c r="AP16" i="12" a="1"/>
  <c r="AQ12" i="9" a="1"/>
  <c r="AQ34" i="9" a="1"/>
  <c r="AQ25" i="9" a="1"/>
  <c r="G18" i="11" a="1"/>
  <c r="G20" i="6" a="1"/>
  <c r="G25" i="7" a="1"/>
  <c r="G21" i="7" a="1"/>
  <c r="AP18" i="9" a="1"/>
  <c r="G14" i="8" a="1"/>
  <c r="AP21" i="9" a="1"/>
  <c r="G26" i="10" a="1"/>
  <c r="AP17" i="9" a="1"/>
  <c r="G25" i="12" a="1"/>
  <c r="G16" i="8" a="1"/>
  <c r="AP8" i="9" a="1"/>
  <c r="G26" i="12" a="1"/>
  <c r="G17" i="6" a="1"/>
  <c r="AP19" i="5" a="1"/>
  <c r="AP15" i="6" a="1"/>
  <c r="AP16" i="7" a="1"/>
  <c r="AP15" i="8" a="1"/>
  <c r="AP15" i="10" a="1"/>
  <c r="AP34" i="11" a="1"/>
  <c r="AP21" i="12" a="1"/>
  <c r="AQ11" i="12" a="1"/>
  <c r="AP9" i="12" a="1"/>
  <c r="AQ11" i="9" a="1"/>
  <c r="G18" i="8" a="1"/>
  <c r="G30" i="9" a="1"/>
  <c r="G22" i="12" a="1"/>
  <c r="G23" i="8" a="1"/>
  <c r="AP27" i="9" a="1"/>
  <c r="G25" i="11" a="1"/>
  <c r="G22" i="7" a="1"/>
  <c r="AQ6" i="6" a="1"/>
  <c r="AQ14" i="7" a="1"/>
  <c r="AP33" i="8" a="1"/>
  <c r="AQ24" i="10" a="1"/>
  <c r="AQ21" i="11" a="1"/>
  <c r="AP29" i="11" a="1"/>
  <c r="AP9" i="11" a="1"/>
  <c r="AQ32" i="12" a="1"/>
  <c r="AQ9" i="12" a="1"/>
  <c r="AP7" i="12" a="1"/>
  <c r="AQ13" i="9" a="1"/>
  <c r="AQ35" i="9" a="1"/>
  <c r="AP29" i="9" a="1"/>
  <c r="G20" i="7" a="1"/>
  <c r="G29" i="7" a="1"/>
  <c r="G14" i="12" a="1"/>
  <c r="G24" i="10" a="1"/>
  <c r="G16" i="11" a="1"/>
  <c r="G16" i="10" a="1"/>
  <c r="G29" i="10" a="1"/>
  <c r="G21" i="12" a="1"/>
  <c r="G21" i="13" l="1"/>
  <c r="AQ8" i="13"/>
  <c r="AP10" i="13"/>
  <c r="AN10" i="13" s="1"/>
  <c r="G14" i="13"/>
  <c r="AQ15" i="13"/>
  <c r="G18" i="13"/>
  <c r="AQ19" i="13"/>
  <c r="AP20" i="13"/>
  <c r="AN20" i="13" s="1"/>
  <c r="AQ21" i="13"/>
  <c r="G24" i="13"/>
  <c r="AQ25" i="13"/>
  <c r="G29" i="13"/>
  <c r="AQ30" i="13"/>
  <c r="AP32" i="13"/>
  <c r="AN32" i="13" s="1"/>
  <c r="AQ5" i="13"/>
  <c r="AQ6" i="13"/>
  <c r="AP9" i="13"/>
  <c r="AN9" i="13" s="1"/>
  <c r="AP12" i="13"/>
  <c r="AN12" i="13" s="1"/>
  <c r="G15" i="13"/>
  <c r="AQ16" i="13"/>
  <c r="G19" i="13"/>
  <c r="AQ22" i="13"/>
  <c r="G25" i="13"/>
  <c r="AQ26" i="13"/>
  <c r="G30" i="13"/>
  <c r="AQ35" i="13"/>
  <c r="AQ7" i="13"/>
  <c r="AQ13" i="13"/>
  <c r="G16" i="13"/>
  <c r="AQ17" i="13"/>
  <c r="G20" i="13"/>
  <c r="G22" i="13"/>
  <c r="AQ23" i="13"/>
  <c r="G26" i="13"/>
  <c r="AQ27" i="13"/>
  <c r="AQ28" i="13"/>
  <c r="AQ34" i="13"/>
  <c r="AP36" i="13"/>
  <c r="AN36" i="13" s="1"/>
  <c r="AP6" i="13"/>
  <c r="AN6" i="13" s="1"/>
  <c r="AQ11" i="13"/>
  <c r="AQ14" i="13"/>
  <c r="G17" i="13"/>
  <c r="AQ18" i="13"/>
  <c r="G23" i="13"/>
  <c r="AQ24" i="13"/>
  <c r="G27" i="13"/>
  <c r="AQ29" i="13"/>
  <c r="AQ31" i="13"/>
  <c r="AP33" i="13"/>
  <c r="AN33" i="13" s="1"/>
  <c r="AQ9" i="13"/>
  <c r="AP11" i="13"/>
  <c r="AN11" i="13" s="1"/>
  <c r="AQ12" i="13"/>
  <c r="AQ20" i="13"/>
  <c r="AP21" i="13"/>
  <c r="AN21" i="13" s="1"/>
  <c r="AP22" i="13"/>
  <c r="AN22" i="13" s="1"/>
  <c r="AP23" i="13"/>
  <c r="AN23" i="13" s="1"/>
  <c r="AP24" i="13"/>
  <c r="AN24" i="13" s="1"/>
  <c r="AP25" i="13"/>
  <c r="AN25" i="13" s="1"/>
  <c r="AP26" i="13"/>
  <c r="AN26" i="13" s="1"/>
  <c r="AP27" i="13"/>
  <c r="AN27" i="13" s="1"/>
  <c r="AP28" i="13"/>
  <c r="AN28" i="13" s="1"/>
  <c r="AP29" i="13"/>
  <c r="AN29" i="13" s="1"/>
  <c r="AP30" i="13"/>
  <c r="AN30" i="13" s="1"/>
  <c r="AQ32" i="13"/>
  <c r="AP34" i="13"/>
  <c r="AN34" i="13" s="1"/>
  <c r="AQ36" i="13"/>
  <c r="AP5" i="13"/>
  <c r="AN5" i="13" s="1"/>
  <c r="AP7" i="13"/>
  <c r="AN7" i="13" s="1"/>
  <c r="AP8" i="13"/>
  <c r="AN8" i="13" s="1"/>
  <c r="AQ10" i="13"/>
  <c r="AP13" i="13"/>
  <c r="AN13" i="13" s="1"/>
  <c r="AP14" i="13"/>
  <c r="AN14" i="13" s="1"/>
  <c r="AP15" i="13"/>
  <c r="AN15" i="13" s="1"/>
  <c r="AP16" i="13"/>
  <c r="AN16" i="13" s="1"/>
  <c r="AP17" i="13"/>
  <c r="AN17" i="13" s="1"/>
  <c r="AP18" i="13"/>
  <c r="AN18" i="13" s="1"/>
  <c r="AP19" i="13"/>
  <c r="AN19" i="13" s="1"/>
  <c r="AP31" i="13"/>
  <c r="AN31" i="13" s="1"/>
  <c r="AQ33" i="13"/>
  <c r="AP35" i="13"/>
  <c r="AN35" i="13" s="1"/>
  <c r="AL20" i="13"/>
  <c r="M5" i="9"/>
  <c r="X20" i="9" s="1"/>
  <c r="S5" i="9"/>
  <c r="AA20" i="9" s="1"/>
  <c r="Q5" i="9"/>
  <c r="AP5" i="5"/>
  <c r="AP8" i="5"/>
  <c r="AP11" i="5"/>
  <c r="AP14" i="5"/>
  <c r="AP17" i="5"/>
  <c r="AP19" i="5"/>
  <c r="AP22" i="5"/>
  <c r="AP25" i="5"/>
  <c r="AP28" i="5"/>
  <c r="AP29" i="5"/>
  <c r="AP30" i="5"/>
  <c r="AP33" i="5"/>
  <c r="AP34" i="5"/>
  <c r="AP35" i="5"/>
  <c r="AP36" i="5"/>
  <c r="AP6" i="5"/>
  <c r="AP9" i="5"/>
  <c r="AP12" i="5"/>
  <c r="AP15" i="5"/>
  <c r="AP18" i="5"/>
  <c r="AP21" i="5"/>
  <c r="AP24" i="5"/>
  <c r="AP27" i="5"/>
  <c r="AP31" i="5"/>
  <c r="AQ5" i="5"/>
  <c r="G8" i="5" s="1"/>
  <c r="AQ6" i="5"/>
  <c r="AQ7" i="5"/>
  <c r="AQ8" i="5"/>
  <c r="AQ9" i="5"/>
  <c r="AQ10" i="5"/>
  <c r="AQ12" i="5"/>
  <c r="AQ13" i="5"/>
  <c r="AQ14" i="5"/>
  <c r="AQ15" i="5"/>
  <c r="AQ16" i="5"/>
  <c r="AQ17" i="5"/>
  <c r="AQ18" i="5"/>
  <c r="AQ19" i="5"/>
  <c r="AQ20" i="5"/>
  <c r="AQ21" i="5"/>
  <c r="AQ22" i="5"/>
  <c r="AQ23" i="5"/>
  <c r="AQ24" i="5"/>
  <c r="AQ25" i="5"/>
  <c r="AQ26" i="5"/>
  <c r="AQ27" i="5"/>
  <c r="AQ28" i="5"/>
  <c r="AQ29" i="5"/>
  <c r="AQ30" i="5"/>
  <c r="AQ31" i="5"/>
  <c r="AQ32" i="5"/>
  <c r="AQ33" i="5"/>
  <c r="AQ34" i="5"/>
  <c r="AQ35" i="5"/>
  <c r="AQ36" i="5"/>
  <c r="AP7" i="5"/>
  <c r="AP10" i="5"/>
  <c r="AP13" i="5"/>
  <c r="AP16" i="5"/>
  <c r="AP20" i="5"/>
  <c r="AP23" i="5"/>
  <c r="AP26" i="5"/>
  <c r="AP32" i="5"/>
  <c r="AQ11" i="5"/>
  <c r="AP5" i="6"/>
  <c r="AP7" i="6"/>
  <c r="AP9" i="6"/>
  <c r="AP11" i="6"/>
  <c r="AN11" i="6" s="1"/>
  <c r="AP13" i="6"/>
  <c r="AP15" i="6"/>
  <c r="AN15" i="6" s="1"/>
  <c r="AP17" i="6"/>
  <c r="AN17" i="6" s="1"/>
  <c r="AP19" i="6"/>
  <c r="AN19" i="6" s="1"/>
  <c r="AP21" i="6"/>
  <c r="AP23" i="6"/>
  <c r="AP25" i="6"/>
  <c r="AP27" i="6"/>
  <c r="AP29" i="6"/>
  <c r="AP31" i="6"/>
  <c r="AP33" i="6"/>
  <c r="AN33" i="6" s="1"/>
  <c r="AP36" i="6"/>
  <c r="AN36" i="6" s="1"/>
  <c r="AQ5" i="6"/>
  <c r="G8" i="6" s="1"/>
  <c r="G5" i="6" s="1"/>
  <c r="AI19" i="6" s="1"/>
  <c r="AQ7" i="6"/>
  <c r="AQ8" i="6"/>
  <c r="AQ9" i="6"/>
  <c r="AQ11" i="6"/>
  <c r="AQ12" i="6"/>
  <c r="AQ13" i="6"/>
  <c r="AQ14" i="6"/>
  <c r="AQ15" i="6"/>
  <c r="AQ16" i="6"/>
  <c r="AQ17" i="6"/>
  <c r="AQ18" i="6"/>
  <c r="AQ19" i="6"/>
  <c r="AQ20" i="6"/>
  <c r="AQ21" i="6"/>
  <c r="AQ23" i="6"/>
  <c r="AQ24" i="6"/>
  <c r="AQ25" i="6"/>
  <c r="AQ26" i="6"/>
  <c r="AQ27" i="6"/>
  <c r="AQ28" i="6"/>
  <c r="AQ29" i="6"/>
  <c r="AQ30" i="6"/>
  <c r="AQ31" i="6"/>
  <c r="AQ32" i="6"/>
  <c r="AQ33" i="6"/>
  <c r="AQ34" i="6"/>
  <c r="AQ35" i="6"/>
  <c r="AQ36" i="6"/>
  <c r="AP6" i="6"/>
  <c r="AP8" i="6"/>
  <c r="AN8" i="6" s="1"/>
  <c r="AP10" i="6"/>
  <c r="AN10" i="6" s="1"/>
  <c r="AP12" i="6"/>
  <c r="AN12" i="6" s="1"/>
  <c r="AP14" i="6"/>
  <c r="AP16" i="6"/>
  <c r="AP18" i="6"/>
  <c r="AN18" i="6" s="1"/>
  <c r="AP20" i="6"/>
  <c r="AP22" i="6"/>
  <c r="AN22" i="6" s="1"/>
  <c r="AP24" i="6"/>
  <c r="AN24" i="6" s="1"/>
  <c r="AP26" i="6"/>
  <c r="AN26" i="6" s="1"/>
  <c r="AP28" i="6"/>
  <c r="AP30" i="6"/>
  <c r="AP32" i="6"/>
  <c r="AN32" i="6" s="1"/>
  <c r="AP34" i="6"/>
  <c r="AN34" i="6" s="1"/>
  <c r="AP35" i="6"/>
  <c r="AQ6" i="6"/>
  <c r="AQ10" i="6"/>
  <c r="AQ22" i="6"/>
  <c r="AP5" i="7"/>
  <c r="AP7" i="7"/>
  <c r="AN7" i="7" s="1"/>
  <c r="AP10" i="7"/>
  <c r="AP13" i="7"/>
  <c r="AN13" i="7" s="1"/>
  <c r="AP15" i="7"/>
  <c r="AN15" i="7" s="1"/>
  <c r="AP16" i="7"/>
  <c r="AN16" i="7" s="1"/>
  <c r="AP18" i="7"/>
  <c r="AN18" i="7" s="1"/>
  <c r="AP20" i="7"/>
  <c r="AN20" i="7" s="1"/>
  <c r="AP21" i="7"/>
  <c r="AP22" i="7"/>
  <c r="AP23" i="7"/>
  <c r="AP24" i="7"/>
  <c r="AN24" i="7" s="1"/>
  <c r="AP25" i="7"/>
  <c r="AN25" i="7" s="1"/>
  <c r="AP26" i="7"/>
  <c r="AN26" i="7" s="1"/>
  <c r="AP27" i="7"/>
  <c r="AN27" i="7" s="1"/>
  <c r="AP28" i="7"/>
  <c r="AN28" i="7" s="1"/>
  <c r="AP29" i="7"/>
  <c r="AP30" i="7"/>
  <c r="AN30" i="7" s="1"/>
  <c r="AP31" i="7"/>
  <c r="AN31" i="7" s="1"/>
  <c r="AP32" i="7"/>
  <c r="AN32" i="7" s="1"/>
  <c r="AP33" i="7"/>
  <c r="AP34" i="7"/>
  <c r="AP35" i="7"/>
  <c r="AP36" i="7"/>
  <c r="AN36" i="7" s="1"/>
  <c r="AP8" i="7"/>
  <c r="AP11" i="7"/>
  <c r="AP17" i="7"/>
  <c r="AN17" i="7" s="1"/>
  <c r="AQ7" i="7"/>
  <c r="AQ9" i="7"/>
  <c r="AQ11" i="7"/>
  <c r="AQ13" i="7"/>
  <c r="AQ15" i="7"/>
  <c r="AQ16" i="7"/>
  <c r="AQ18" i="7"/>
  <c r="AQ19" i="7"/>
  <c r="AQ20" i="7"/>
  <c r="AQ21" i="7"/>
  <c r="AQ22" i="7"/>
  <c r="AQ23" i="7"/>
  <c r="AQ24" i="7"/>
  <c r="AQ25" i="7"/>
  <c r="AQ26" i="7"/>
  <c r="AQ28" i="7"/>
  <c r="AQ29" i="7"/>
  <c r="AQ30" i="7"/>
  <c r="AQ31" i="7"/>
  <c r="AQ32" i="7"/>
  <c r="AQ33" i="7"/>
  <c r="AQ34" i="7"/>
  <c r="AQ35" i="7"/>
  <c r="AQ36" i="7"/>
  <c r="AP6" i="7"/>
  <c r="AP9" i="7"/>
  <c r="AP12" i="7"/>
  <c r="AN12" i="7" s="1"/>
  <c r="AP14" i="7"/>
  <c r="AN14" i="7" s="1"/>
  <c r="AP19" i="7"/>
  <c r="AN19" i="7" s="1"/>
  <c r="AQ5" i="7"/>
  <c r="G8" i="7" s="1"/>
  <c r="AQ6" i="7"/>
  <c r="AQ8" i="7"/>
  <c r="AQ10" i="7"/>
  <c r="AQ12" i="7"/>
  <c r="AQ14" i="7"/>
  <c r="AQ17" i="7"/>
  <c r="AQ27" i="7"/>
  <c r="AP6" i="8"/>
  <c r="AN6" i="8" s="1"/>
  <c r="AP8" i="8"/>
  <c r="AN8" i="8" s="1"/>
  <c r="AP10" i="8"/>
  <c r="AN10" i="8" s="1"/>
  <c r="AP12" i="8"/>
  <c r="AN12" i="8" s="1"/>
  <c r="AP13" i="8"/>
  <c r="AP15" i="8"/>
  <c r="AP17" i="8"/>
  <c r="AP19" i="8"/>
  <c r="AN19" i="8" s="1"/>
  <c r="AP21" i="8"/>
  <c r="AP23" i="8"/>
  <c r="AP25" i="8"/>
  <c r="AP27" i="8"/>
  <c r="AN27" i="8" s="1"/>
  <c r="AP29" i="8"/>
  <c r="AN29" i="8" s="1"/>
  <c r="AP30" i="8"/>
  <c r="AP32" i="8"/>
  <c r="AN32" i="8" s="1"/>
  <c r="AP34" i="8"/>
  <c r="AN34" i="8" s="1"/>
  <c r="AP36" i="8"/>
  <c r="AQ5" i="8"/>
  <c r="G8" i="8" s="1"/>
  <c r="G5" i="8" s="1"/>
  <c r="W21" i="8" s="1"/>
  <c r="AQ6" i="8"/>
  <c r="AQ7" i="8"/>
  <c r="AQ8" i="8"/>
  <c r="AQ9" i="8"/>
  <c r="AQ10" i="8"/>
  <c r="AQ11" i="8"/>
  <c r="AQ13" i="8"/>
  <c r="AQ14" i="8"/>
  <c r="AQ15" i="8"/>
  <c r="AQ16" i="8"/>
  <c r="AQ17" i="8"/>
  <c r="AQ18" i="8"/>
  <c r="AQ19" i="8"/>
  <c r="AQ20" i="8"/>
  <c r="AQ21" i="8"/>
  <c r="AQ22" i="8"/>
  <c r="AQ23" i="8"/>
  <c r="AQ24" i="8"/>
  <c r="AQ25" i="8"/>
  <c r="AQ26" i="8"/>
  <c r="AQ27" i="8"/>
  <c r="AQ28" i="8"/>
  <c r="AQ29" i="8"/>
  <c r="AQ30" i="8"/>
  <c r="AQ31" i="8"/>
  <c r="AQ32" i="8"/>
  <c r="AQ33" i="8"/>
  <c r="AQ34" i="8"/>
  <c r="AQ35" i="8"/>
  <c r="AQ36" i="8"/>
  <c r="AP5" i="8"/>
  <c r="AP7" i="8"/>
  <c r="AN7" i="8" s="1"/>
  <c r="AP9" i="8"/>
  <c r="AN9" i="8" s="1"/>
  <c r="AP11" i="8"/>
  <c r="AN11" i="8" s="1"/>
  <c r="AP14" i="8"/>
  <c r="AP16" i="8"/>
  <c r="AP18" i="8"/>
  <c r="AN18" i="8" s="1"/>
  <c r="AP20" i="8"/>
  <c r="AN20" i="8" s="1"/>
  <c r="AP22" i="8"/>
  <c r="AN22" i="8" s="1"/>
  <c r="AP24" i="8"/>
  <c r="AN24" i="8" s="1"/>
  <c r="AP26" i="8"/>
  <c r="AN26" i="8" s="1"/>
  <c r="AP28" i="8"/>
  <c r="AN28" i="8" s="1"/>
  <c r="AP31" i="8"/>
  <c r="AN31" i="8" s="1"/>
  <c r="AP33" i="8"/>
  <c r="AP35" i="8"/>
  <c r="AN35" i="8" s="1"/>
  <c r="AQ12" i="8"/>
  <c r="AP5" i="10"/>
  <c r="AP8" i="10"/>
  <c r="AP10" i="10"/>
  <c r="AN10" i="10" s="1"/>
  <c r="AP11" i="10"/>
  <c r="AN11" i="10" s="1"/>
  <c r="AP13" i="10"/>
  <c r="AP15" i="10"/>
  <c r="AP16" i="10"/>
  <c r="AN16" i="10" s="1"/>
  <c r="AP17" i="10"/>
  <c r="AN17" i="10" s="1"/>
  <c r="AP18" i="10"/>
  <c r="AN18" i="10" s="1"/>
  <c r="AP19" i="10"/>
  <c r="AN19" i="10" s="1"/>
  <c r="AP20" i="10"/>
  <c r="AN20" i="10" s="1"/>
  <c r="AP21" i="10"/>
  <c r="AN21" i="10" s="1"/>
  <c r="AP22" i="10"/>
  <c r="AP23" i="10"/>
  <c r="AP24" i="10"/>
  <c r="AP25" i="10"/>
  <c r="AN25" i="10" s="1"/>
  <c r="AP26" i="10"/>
  <c r="AP27" i="10"/>
  <c r="AN27" i="10" s="1"/>
  <c r="AP28" i="10"/>
  <c r="AP29" i="10"/>
  <c r="AN29" i="10" s="1"/>
  <c r="AP30" i="10"/>
  <c r="AN30" i="10" s="1"/>
  <c r="AP31" i="10"/>
  <c r="AN31" i="10" s="1"/>
  <c r="AP32" i="10"/>
  <c r="AN32" i="10" s="1"/>
  <c r="AP33" i="10"/>
  <c r="AN33" i="10" s="1"/>
  <c r="AP34" i="10"/>
  <c r="AP35" i="10"/>
  <c r="AN35" i="10" s="1"/>
  <c r="AP36" i="10"/>
  <c r="AN36" i="10" s="1"/>
  <c r="AP7" i="10"/>
  <c r="AP12" i="10"/>
  <c r="AQ6" i="10"/>
  <c r="AQ8" i="10"/>
  <c r="AQ11" i="10"/>
  <c r="AQ13" i="10"/>
  <c r="AQ15" i="10"/>
  <c r="AQ17" i="10"/>
  <c r="AQ19" i="10"/>
  <c r="AQ21" i="10"/>
  <c r="AQ23" i="10"/>
  <c r="AQ25" i="10"/>
  <c r="AQ26" i="10"/>
  <c r="AQ28" i="10"/>
  <c r="AQ29" i="10"/>
  <c r="AQ30" i="10"/>
  <c r="AQ31" i="10"/>
  <c r="AQ32" i="10"/>
  <c r="AQ33" i="10"/>
  <c r="AQ35" i="10"/>
  <c r="AQ36" i="10"/>
  <c r="AP6" i="10"/>
  <c r="AP9" i="10"/>
  <c r="AN9" i="10" s="1"/>
  <c r="AP14" i="10"/>
  <c r="AQ5" i="10"/>
  <c r="G8" i="10" s="1"/>
  <c r="G5" i="10" s="1"/>
  <c r="AE20" i="10" s="1"/>
  <c r="AQ7" i="10"/>
  <c r="AQ9" i="10"/>
  <c r="AQ10" i="10"/>
  <c r="AQ12" i="10"/>
  <c r="AQ14" i="10"/>
  <c r="AQ16" i="10"/>
  <c r="AQ18" i="10"/>
  <c r="AQ20" i="10"/>
  <c r="AQ22" i="10"/>
  <c r="AQ24" i="10"/>
  <c r="AQ27" i="10"/>
  <c r="AQ34" i="10"/>
  <c r="AP7" i="11"/>
  <c r="AP9" i="11"/>
  <c r="AN9" i="11" s="1"/>
  <c r="AP11" i="11"/>
  <c r="AN11" i="11" s="1"/>
  <c r="AP13" i="11"/>
  <c r="AN13" i="11" s="1"/>
  <c r="AP15" i="11"/>
  <c r="AP17" i="11"/>
  <c r="AP18" i="11"/>
  <c r="AN18" i="11" s="1"/>
  <c r="AP19" i="11"/>
  <c r="AN19" i="11" s="1"/>
  <c r="AP20" i="11"/>
  <c r="AP21" i="11"/>
  <c r="AN21" i="11" s="1"/>
  <c r="AP22" i="11"/>
  <c r="AN22" i="11" s="1"/>
  <c r="AP23" i="11"/>
  <c r="AN23" i="11" s="1"/>
  <c r="AP24" i="11"/>
  <c r="AN24" i="11" s="1"/>
  <c r="AP25" i="11"/>
  <c r="AN25" i="11" s="1"/>
  <c r="AP26" i="11"/>
  <c r="AN26" i="11" s="1"/>
  <c r="AP27" i="11"/>
  <c r="AP28" i="11"/>
  <c r="AP29" i="11"/>
  <c r="AN29" i="11" s="1"/>
  <c r="AP30" i="11"/>
  <c r="AN30" i="11" s="1"/>
  <c r="AP31" i="11"/>
  <c r="AN31" i="11" s="1"/>
  <c r="AP32" i="11"/>
  <c r="AP33" i="11"/>
  <c r="AP34" i="11"/>
  <c r="AN34" i="11" s="1"/>
  <c r="AP35" i="11"/>
  <c r="AP36" i="11"/>
  <c r="AP5" i="11"/>
  <c r="AN5" i="11" s="1"/>
  <c r="AP8" i="11"/>
  <c r="AN8" i="11" s="1"/>
  <c r="AP14" i="11"/>
  <c r="AN14" i="11" s="1"/>
  <c r="AQ6" i="11"/>
  <c r="AQ8" i="11"/>
  <c r="AQ10" i="11"/>
  <c r="AQ12" i="11"/>
  <c r="AQ13" i="11"/>
  <c r="AQ15" i="11"/>
  <c r="AQ18" i="11"/>
  <c r="AQ20" i="11"/>
  <c r="AQ22" i="11"/>
  <c r="AQ23" i="11"/>
  <c r="AQ25" i="11"/>
  <c r="AQ26" i="11"/>
  <c r="AQ27" i="11"/>
  <c r="AQ28" i="11"/>
  <c r="AQ29" i="11"/>
  <c r="AQ30" i="11"/>
  <c r="AQ32" i="11"/>
  <c r="AQ33" i="11"/>
  <c r="AQ34" i="11"/>
  <c r="AQ35" i="11"/>
  <c r="AQ36" i="11"/>
  <c r="AP6" i="11"/>
  <c r="AN6" i="11" s="1"/>
  <c r="AP10" i="11"/>
  <c r="AN10" i="11" s="1"/>
  <c r="AP12" i="11"/>
  <c r="AN12" i="11" s="1"/>
  <c r="AP16" i="11"/>
  <c r="AQ5" i="11"/>
  <c r="G8" i="11" s="1"/>
  <c r="G5" i="11" s="1"/>
  <c r="X22" i="11" s="1"/>
  <c r="AQ7" i="11"/>
  <c r="AQ9" i="11"/>
  <c r="AQ11" i="11"/>
  <c r="AQ14" i="11"/>
  <c r="AQ16" i="11"/>
  <c r="AQ17" i="11"/>
  <c r="AQ19" i="11"/>
  <c r="AQ21" i="11"/>
  <c r="AQ24" i="11"/>
  <c r="AQ31" i="11"/>
  <c r="AP5" i="12"/>
  <c r="AP7" i="12"/>
  <c r="AN7" i="12" s="1"/>
  <c r="AP9" i="12"/>
  <c r="AN9" i="12" s="1"/>
  <c r="AP10" i="12"/>
  <c r="AN10" i="12" s="1"/>
  <c r="AP12" i="12"/>
  <c r="AP14" i="12"/>
  <c r="AP16" i="12"/>
  <c r="AP18" i="12"/>
  <c r="AP20" i="12"/>
  <c r="AP22" i="12"/>
  <c r="AP24" i="12"/>
  <c r="AP25" i="12"/>
  <c r="AN25" i="12" s="1"/>
  <c r="AP27" i="12"/>
  <c r="AN27" i="12" s="1"/>
  <c r="AP29" i="12"/>
  <c r="AN29" i="12" s="1"/>
  <c r="AP31" i="12"/>
  <c r="AN31" i="12" s="1"/>
  <c r="AP32" i="12"/>
  <c r="AN32" i="12" s="1"/>
  <c r="AP34" i="12"/>
  <c r="AP36" i="12"/>
  <c r="AQ5" i="12"/>
  <c r="AQ6" i="12"/>
  <c r="AQ7" i="12"/>
  <c r="AQ8" i="12"/>
  <c r="AQ9" i="12"/>
  <c r="AQ10" i="12"/>
  <c r="AQ11" i="12"/>
  <c r="AQ12" i="12"/>
  <c r="AQ13" i="12"/>
  <c r="AQ15" i="12"/>
  <c r="AQ16" i="12"/>
  <c r="AQ17" i="12"/>
  <c r="AQ18" i="12"/>
  <c r="AQ19" i="12"/>
  <c r="AQ20" i="12"/>
  <c r="AQ21" i="12"/>
  <c r="AQ22" i="12"/>
  <c r="AQ23" i="12"/>
  <c r="AQ24" i="12"/>
  <c r="AQ25" i="12"/>
  <c r="AQ26" i="12"/>
  <c r="AQ27" i="12"/>
  <c r="AQ28" i="12"/>
  <c r="AQ29" i="12"/>
  <c r="AQ30" i="12"/>
  <c r="AQ31" i="12"/>
  <c r="AQ32" i="12"/>
  <c r="AQ33" i="12"/>
  <c r="AQ34" i="12"/>
  <c r="AQ35" i="12"/>
  <c r="AQ36" i="12"/>
  <c r="AP6" i="12"/>
  <c r="AN6" i="12" s="1"/>
  <c r="AP8" i="12"/>
  <c r="AN8" i="12" s="1"/>
  <c r="AP11" i="12"/>
  <c r="AN11" i="12" s="1"/>
  <c r="AP13" i="12"/>
  <c r="AP15" i="12"/>
  <c r="AP17" i="12"/>
  <c r="AN17" i="12" s="1"/>
  <c r="AP19" i="12"/>
  <c r="AN19" i="12" s="1"/>
  <c r="AP21" i="12"/>
  <c r="AN21" i="12" s="1"/>
  <c r="AP23" i="12"/>
  <c r="AN23" i="12" s="1"/>
  <c r="AP26" i="12"/>
  <c r="AN26" i="12" s="1"/>
  <c r="AP28" i="12"/>
  <c r="AN28" i="12" s="1"/>
  <c r="AP30" i="12"/>
  <c r="AN30" i="12" s="1"/>
  <c r="AP33" i="12"/>
  <c r="AN33" i="12" s="1"/>
  <c r="AP35" i="12"/>
  <c r="AN35" i="12" s="1"/>
  <c r="AQ14" i="12"/>
  <c r="AQ35" i="9"/>
  <c r="AQ33" i="9"/>
  <c r="AQ31" i="9"/>
  <c r="AQ29" i="9"/>
  <c r="AQ27" i="9"/>
  <c r="AQ25" i="9"/>
  <c r="AQ23" i="9"/>
  <c r="AQ21" i="9"/>
  <c r="AQ19" i="9"/>
  <c r="AQ17" i="9"/>
  <c r="AQ15" i="9"/>
  <c r="AQ13" i="9"/>
  <c r="AQ11" i="9"/>
  <c r="AQ9" i="9"/>
  <c r="AQ7" i="9"/>
  <c r="AQ36" i="9"/>
  <c r="AQ34" i="9"/>
  <c r="AQ32" i="9"/>
  <c r="AQ30" i="9"/>
  <c r="AQ28" i="9"/>
  <c r="AQ26" i="9"/>
  <c r="AQ24" i="9"/>
  <c r="AQ22" i="9"/>
  <c r="AQ20" i="9"/>
  <c r="AQ18" i="9"/>
  <c r="AQ16" i="9"/>
  <c r="AQ14" i="9"/>
  <c r="AQ12" i="9"/>
  <c r="AQ10" i="9"/>
  <c r="AQ8" i="9"/>
  <c r="AQ6" i="9"/>
  <c r="AQ5" i="9"/>
  <c r="G23" i="12"/>
  <c r="G27" i="12"/>
  <c r="AN15" i="12"/>
  <c r="G21" i="12"/>
  <c r="AN13" i="12"/>
  <c r="G17" i="12"/>
  <c r="G18" i="12"/>
  <c r="G26" i="12"/>
  <c r="G30" i="12"/>
  <c r="G19" i="12"/>
  <c r="G20" i="12"/>
  <c r="AN12" i="12"/>
  <c r="G15" i="12"/>
  <c r="G16" i="12"/>
  <c r="AN20" i="12"/>
  <c r="G24" i="12"/>
  <c r="G25" i="12"/>
  <c r="G14" i="12"/>
  <c r="G22" i="12"/>
  <c r="G29" i="12"/>
  <c r="AN5" i="12"/>
  <c r="AN22" i="12"/>
  <c r="AN24" i="12"/>
  <c r="AN34" i="12"/>
  <c r="AN14" i="12"/>
  <c r="AN16" i="12"/>
  <c r="AN18" i="12"/>
  <c r="AN36" i="12"/>
  <c r="C5" i="12"/>
  <c r="M5" i="8"/>
  <c r="C27" i="8" s="1"/>
  <c r="Q5" i="11"/>
  <c r="S5" i="11"/>
  <c r="G14" i="11"/>
  <c r="G15" i="11"/>
  <c r="G18" i="11"/>
  <c r="AN20" i="11"/>
  <c r="AN7" i="11"/>
  <c r="G21" i="11"/>
  <c r="G23" i="11"/>
  <c r="G25" i="11"/>
  <c r="G17" i="11"/>
  <c r="G20" i="11"/>
  <c r="G28" i="11"/>
  <c r="G30" i="11"/>
  <c r="G16" i="11"/>
  <c r="G19" i="11"/>
  <c r="G22" i="11"/>
  <c r="G24" i="11"/>
  <c r="AN28" i="11"/>
  <c r="AN16" i="11"/>
  <c r="AN33" i="11"/>
  <c r="AN27" i="11"/>
  <c r="AN32" i="11"/>
  <c r="AN36" i="11"/>
  <c r="AN15" i="11"/>
  <c r="AN17" i="11"/>
  <c r="AN35" i="11"/>
  <c r="C27" i="11"/>
  <c r="G15" i="10"/>
  <c r="G26" i="10"/>
  <c r="AN7" i="10"/>
  <c r="G17" i="10"/>
  <c r="G24" i="10"/>
  <c r="G16" i="10"/>
  <c r="G19" i="10"/>
  <c r="G21" i="10"/>
  <c r="AN22" i="10"/>
  <c r="AN24" i="10"/>
  <c r="G29" i="10"/>
  <c r="G20" i="10"/>
  <c r="AN5" i="10"/>
  <c r="G14" i="10"/>
  <c r="G22" i="10"/>
  <c r="G18" i="10"/>
  <c r="G23" i="10"/>
  <c r="G25" i="10"/>
  <c r="G30" i="10"/>
  <c r="AN12" i="10"/>
  <c r="AN23" i="10"/>
  <c r="AN26" i="10"/>
  <c r="AN28" i="10"/>
  <c r="AN34" i="10"/>
  <c r="AN8" i="10"/>
  <c r="AN14" i="10"/>
  <c r="AN6" i="10"/>
  <c r="AN13" i="10"/>
  <c r="AN15" i="10"/>
  <c r="Q5" i="10"/>
  <c r="S5" i="10"/>
  <c r="O5" i="8"/>
  <c r="Z21" i="8" s="1"/>
  <c r="S5" i="8"/>
  <c r="AB21" i="8" s="1"/>
  <c r="Q5" i="8"/>
  <c r="AA21" i="8" s="1"/>
  <c r="G24" i="9"/>
  <c r="AP7" i="9"/>
  <c r="AN7" i="9" s="1"/>
  <c r="AP16" i="9"/>
  <c r="AN16" i="9" s="1"/>
  <c r="G21" i="9"/>
  <c r="G22" i="9"/>
  <c r="AP24" i="9"/>
  <c r="AN24" i="9" s="1"/>
  <c r="AP26" i="9"/>
  <c r="AN26" i="9" s="1"/>
  <c r="G29" i="9"/>
  <c r="AP8" i="9"/>
  <c r="AN8" i="9" s="1"/>
  <c r="AP14" i="9"/>
  <c r="AN14" i="9" s="1"/>
  <c r="G18" i="9"/>
  <c r="G19" i="9"/>
  <c r="AP19" i="9"/>
  <c r="AN19" i="9" s="1"/>
  <c r="AP22" i="9"/>
  <c r="AN22" i="9" s="1"/>
  <c r="G25" i="9"/>
  <c r="AP9" i="9"/>
  <c r="AN9" i="9" s="1"/>
  <c r="G16" i="9"/>
  <c r="G17" i="9"/>
  <c r="AP20" i="9"/>
  <c r="AN20" i="9" s="1"/>
  <c r="G28" i="9"/>
  <c r="G30" i="9"/>
  <c r="AP34" i="9"/>
  <c r="AN34" i="9" s="1"/>
  <c r="AP5" i="9"/>
  <c r="AN5" i="9" s="1"/>
  <c r="G14" i="9"/>
  <c r="G15" i="9"/>
  <c r="AP18" i="9"/>
  <c r="AN18" i="9" s="1"/>
  <c r="G20" i="9"/>
  <c r="G23" i="9"/>
  <c r="AP28" i="9"/>
  <c r="AN28" i="9" s="1"/>
  <c r="AP30" i="9"/>
  <c r="AN30" i="9" s="1"/>
  <c r="AP33" i="9"/>
  <c r="AN33" i="9" s="1"/>
  <c r="AP11" i="9"/>
  <c r="AN11" i="9" s="1"/>
  <c r="AP12" i="9"/>
  <c r="AN12" i="9" s="1"/>
  <c r="AP21" i="9"/>
  <c r="AN21" i="9" s="1"/>
  <c r="AP23" i="9"/>
  <c r="AN23" i="9" s="1"/>
  <c r="AP25" i="9"/>
  <c r="AN25" i="9" s="1"/>
  <c r="AP27" i="9"/>
  <c r="AN27" i="9" s="1"/>
  <c r="AP29" i="9"/>
  <c r="AN29" i="9" s="1"/>
  <c r="AP32" i="9"/>
  <c r="AN32" i="9" s="1"/>
  <c r="AP36" i="9"/>
  <c r="AN36" i="9" s="1"/>
  <c r="AP6" i="9"/>
  <c r="AN6" i="9" s="1"/>
  <c r="AP10" i="9"/>
  <c r="AN10" i="9" s="1"/>
  <c r="AP13" i="9"/>
  <c r="AN13" i="9" s="1"/>
  <c r="AP15" i="9"/>
  <c r="AN15" i="9" s="1"/>
  <c r="AP17" i="9"/>
  <c r="AN17" i="9" s="1"/>
  <c r="AP31" i="9"/>
  <c r="AN31" i="9" s="1"/>
  <c r="AP35" i="9"/>
  <c r="AN35" i="9" s="1"/>
  <c r="G27" i="8"/>
  <c r="G23" i="8"/>
  <c r="G29" i="8"/>
  <c r="G21" i="8"/>
  <c r="G25" i="8"/>
  <c r="G22" i="8"/>
  <c r="G20" i="8"/>
  <c r="G24" i="8"/>
  <c r="G30" i="8"/>
  <c r="AN5" i="8"/>
  <c r="G15" i="8"/>
  <c r="G17" i="8"/>
  <c r="G19" i="8"/>
  <c r="AN30" i="8"/>
  <c r="AN14" i="8"/>
  <c r="AN16" i="8"/>
  <c r="AN33" i="8"/>
  <c r="G16" i="8"/>
  <c r="AN21" i="8"/>
  <c r="AN23" i="8"/>
  <c r="AN25" i="8"/>
  <c r="AN36" i="8"/>
  <c r="G14" i="8"/>
  <c r="G18" i="8"/>
  <c r="AN13" i="8"/>
  <c r="AN15" i="8"/>
  <c r="AN17" i="8"/>
  <c r="G15" i="7"/>
  <c r="G19" i="7"/>
  <c r="G21" i="7"/>
  <c r="G23" i="7"/>
  <c r="G25" i="7"/>
  <c r="G27" i="7"/>
  <c r="G29" i="7"/>
  <c r="G14" i="7"/>
  <c r="G18" i="7"/>
  <c r="G22" i="7"/>
  <c r="G26" i="7"/>
  <c r="G30" i="7"/>
  <c r="G17" i="7"/>
  <c r="G16" i="7"/>
  <c r="G20" i="7"/>
  <c r="G24" i="7"/>
  <c r="C5" i="7"/>
  <c r="G5" i="7"/>
  <c r="AG21" i="7" s="1"/>
  <c r="M5" i="7"/>
  <c r="AI21" i="7" s="1"/>
  <c r="O5" i="7"/>
  <c r="AJ21" i="7" s="1"/>
  <c r="Q5" i="7"/>
  <c r="S5" i="7"/>
  <c r="AN8" i="7"/>
  <c r="AN22" i="7"/>
  <c r="AN34" i="7"/>
  <c r="AN11" i="7"/>
  <c r="AN33" i="7"/>
  <c r="AN6" i="7"/>
  <c r="AN10" i="7"/>
  <c r="AN21" i="7"/>
  <c r="AN23" i="7"/>
  <c r="AN29" i="7"/>
  <c r="AN5" i="7"/>
  <c r="AN9" i="7"/>
  <c r="AN35" i="7"/>
  <c r="G22" i="6"/>
  <c r="G23" i="6"/>
  <c r="G28" i="6"/>
  <c r="G24" i="6"/>
  <c r="G29" i="6"/>
  <c r="G21" i="6"/>
  <c r="G25" i="6"/>
  <c r="G30" i="6"/>
  <c r="AN14" i="6"/>
  <c r="AN16" i="6"/>
  <c r="AN5" i="6"/>
  <c r="AN7" i="6"/>
  <c r="AN9" i="6"/>
  <c r="G17" i="6"/>
  <c r="AN28" i="6"/>
  <c r="AN30" i="6"/>
  <c r="G14" i="6"/>
  <c r="G16" i="6"/>
  <c r="G18" i="6"/>
  <c r="G20" i="6"/>
  <c r="AN21" i="6"/>
  <c r="AN23" i="6"/>
  <c r="AN25" i="6"/>
  <c r="AN27" i="6"/>
  <c r="AN29" i="6"/>
  <c r="G15" i="6"/>
  <c r="G19" i="6"/>
  <c r="AN20" i="6"/>
  <c r="AN6" i="6"/>
  <c r="AN13" i="6"/>
  <c r="AN31" i="6"/>
  <c r="AN35" i="6"/>
  <c r="Q5" i="6"/>
  <c r="W20" i="6" s="1"/>
  <c r="G27" i="11" a="1"/>
  <c r="J8" i="13" l="1"/>
  <c r="J5" i="13" s="1"/>
  <c r="X21" i="13" s="1"/>
  <c r="G8" i="13"/>
  <c r="G5" i="13" s="1"/>
  <c r="Z20" i="9"/>
  <c r="G8" i="9"/>
  <c r="G5" i="9" s="1"/>
  <c r="AL19" i="9" s="1"/>
  <c r="G8" i="12"/>
  <c r="G5" i="12" s="1"/>
  <c r="W21" i="12" s="1"/>
  <c r="Y21" i="8"/>
  <c r="J8" i="12"/>
  <c r="J5" i="12" s="1"/>
  <c r="X21" i="12" s="1"/>
  <c r="AL20" i="12"/>
  <c r="G27" i="11"/>
  <c r="J8" i="11"/>
  <c r="J5" i="11" s="1"/>
  <c r="Y22" i="11" s="1"/>
  <c r="C29" i="11" s="1"/>
  <c r="J8" i="10"/>
  <c r="J5" i="10" s="1"/>
  <c r="AF20" i="10" s="1"/>
  <c r="C27" i="10" s="1"/>
  <c r="J8" i="8"/>
  <c r="J5" i="8" s="1"/>
  <c r="J8" i="9"/>
  <c r="J5" i="9" s="1"/>
  <c r="W20" i="9" s="1"/>
  <c r="J8" i="7"/>
  <c r="J5" i="7" s="1"/>
  <c r="AH21" i="7" s="1"/>
  <c r="C28" i="7" s="1"/>
  <c r="J8" i="6"/>
  <c r="J5" i="6" s="1"/>
  <c r="G26" i="8" a="1"/>
  <c r="G27" i="10" a="1"/>
  <c r="G28" i="7" a="1"/>
  <c r="G29" i="11" a="1"/>
  <c r="W21" i="13" l="1"/>
  <c r="C28" i="13" s="1"/>
  <c r="C12" i="13"/>
  <c r="C27" i="9"/>
  <c r="C12" i="12"/>
  <c r="C28" i="12"/>
  <c r="G29" i="11"/>
  <c r="C26" i="11"/>
  <c r="C12" i="11"/>
  <c r="G27" i="10"/>
  <c r="C28" i="10"/>
  <c r="C12" i="10"/>
  <c r="C26" i="8"/>
  <c r="X21" i="8"/>
  <c r="C28" i="8" s="1"/>
  <c r="G26" i="8"/>
  <c r="C12" i="8"/>
  <c r="C26" i="9"/>
  <c r="C12" i="9"/>
  <c r="C27" i="6"/>
  <c r="AJ19" i="6"/>
  <c r="C26" i="6" s="1"/>
  <c r="G28" i="7"/>
  <c r="C12" i="7"/>
  <c r="C12" i="6"/>
  <c r="G28" i="13" a="1"/>
  <c r="C13" i="13" a="1"/>
  <c r="G27" i="9" a="1"/>
  <c r="G26" i="11" a="1"/>
  <c r="C13" i="10" a="1"/>
  <c r="C13" i="6" a="1"/>
  <c r="G28" i="12" a="1"/>
  <c r="C13" i="12" a="1"/>
  <c r="G28" i="10" a="1"/>
  <c r="C13" i="9" a="1"/>
  <c r="C13" i="11" a="1"/>
  <c r="C13" i="8" a="1"/>
  <c r="G27" i="6" a="1"/>
  <c r="C13" i="7" a="1"/>
  <c r="G28" i="8" a="1"/>
  <c r="G26" i="9" a="1"/>
  <c r="G26" i="6" a="1"/>
  <c r="C13" i="13" l="1"/>
  <c r="G28" i="13"/>
  <c r="G27" i="9"/>
  <c r="G27" i="6"/>
  <c r="G28" i="12"/>
  <c r="C13" i="12"/>
  <c r="C13" i="11"/>
  <c r="G26" i="11"/>
  <c r="C13" i="10"/>
  <c r="G28" i="10"/>
  <c r="G28" i="8"/>
  <c r="G26" i="9"/>
  <c r="C13" i="8"/>
  <c r="C13" i="9"/>
  <c r="G26" i="6"/>
  <c r="C13" i="7"/>
  <c r="C13" i="6"/>
  <c r="P8" i="5" l="1"/>
  <c r="N8" i="5"/>
  <c r="L8" i="5"/>
  <c r="I8" i="5"/>
  <c r="H8" i="5"/>
  <c r="F8" i="5"/>
  <c r="E8" i="5"/>
  <c r="T7" i="5"/>
  <c r="T8" i="5" s="1"/>
  <c r="S7" i="5"/>
  <c r="S8" i="5" s="1"/>
  <c r="S5" i="5" s="1"/>
  <c r="R7" i="5"/>
  <c r="R8" i="5" s="1"/>
  <c r="Q7" i="5"/>
  <c r="Q8" i="5" s="1"/>
  <c r="O7" i="5"/>
  <c r="O8" i="5" s="1"/>
  <c r="O5" i="5" s="1"/>
  <c r="M7" i="5"/>
  <c r="M8" i="5" s="1"/>
  <c r="G5" i="5"/>
  <c r="C5" i="5"/>
  <c r="M5" i="5" l="1"/>
  <c r="AN5" i="5"/>
  <c r="AN7" i="5"/>
  <c r="AN9" i="5"/>
  <c r="AN18" i="5"/>
  <c r="AN22" i="5"/>
  <c r="AN26" i="5"/>
  <c r="AN30" i="5"/>
  <c r="AN34" i="5"/>
  <c r="AN8" i="5"/>
  <c r="AN17" i="5"/>
  <c r="AN21" i="5"/>
  <c r="AN25" i="5"/>
  <c r="AN29" i="5"/>
  <c r="AN33" i="5"/>
  <c r="AN11" i="5"/>
  <c r="AN12" i="5"/>
  <c r="AN16" i="5"/>
  <c r="AN20" i="5"/>
  <c r="AN24" i="5"/>
  <c r="AN28" i="5"/>
  <c r="AN32" i="5"/>
  <c r="AN36" i="5"/>
  <c r="AN6" i="5"/>
  <c r="AN10" i="5"/>
  <c r="AN13" i="5"/>
  <c r="AN14" i="5"/>
  <c r="AN15" i="5"/>
  <c r="AN19" i="5"/>
  <c r="AN23" i="5"/>
  <c r="AN27" i="5"/>
  <c r="AN31" i="5"/>
  <c r="AN35" i="5"/>
  <c r="Q5" i="5"/>
  <c r="J8" i="5" l="1"/>
  <c r="J5" i="5" s="1"/>
  <c r="C12" i="5" s="1"/>
  <c r="C13" i="5" a="1"/>
  <c r="C13" i="5" l="1"/>
  <c r="AD3" i="1"/>
  <c r="AD5" i="1" s="1"/>
  <c r="AE3" i="1"/>
  <c r="AF3" i="1"/>
  <c r="AF5" i="1" s="1"/>
  <c r="AG3" i="1"/>
  <c r="AG5" i="1" s="1"/>
  <c r="AH3" i="1"/>
  <c r="AH5" i="1" s="1"/>
  <c r="AE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F4" i="1" a="1"/>
  <c r="C7" i="1"/>
  <c r="G7" i="1"/>
  <c r="M6" i="1" a="1"/>
  <c r="D7" i="1"/>
  <c r="G4" i="1" a="1"/>
  <c r="E6" i="1" a="1"/>
  <c r="H7" i="1"/>
  <c r="AB6" i="1" a="1"/>
  <c r="N6" i="1" a="1"/>
  <c r="V7" i="1"/>
  <c r="J6" i="1" a="1"/>
  <c r="AG6" i="1" a="1"/>
  <c r="Y6" i="1" a="1"/>
  <c r="H6" i="1" a="1"/>
  <c r="U6" i="1" a="1"/>
  <c r="R6" i="1" a="1"/>
  <c r="W6" i="1" a="1"/>
  <c r="G6" i="1" a="1"/>
  <c r="AC6" i="1" a="1"/>
  <c r="N7" i="1"/>
  <c r="J7" i="1"/>
  <c r="F6" i="1" a="1"/>
  <c r="AD6" i="1" a="1"/>
  <c r="R4" i="1" a="1"/>
  <c r="F7" i="1"/>
  <c r="AF6" i="1" a="1"/>
  <c r="D6" i="1" a="1"/>
  <c r="V4" i="1" a="1"/>
  <c r="I6" i="1" a="1"/>
  <c r="L6" i="1" a="1"/>
  <c r="AH6" i="1" a="1"/>
  <c r="C14" i="5"/>
  <c r="Z4" i="1" a="1"/>
  <c r="O6" i="1" a="1"/>
  <c r="P6" i="1" a="1"/>
  <c r="H4" i="1" a="1"/>
  <c r="K6" i="1" a="1"/>
  <c r="V6" i="1" a="1"/>
  <c r="X6" i="1" a="1"/>
  <c r="S6" i="1" a="1"/>
  <c r="AA6" i="1" a="1"/>
  <c r="C4" i="1" a="1"/>
  <c r="E7" i="1"/>
  <c r="T6" i="1" a="1"/>
  <c r="C6" i="1" a="1"/>
  <c r="Z6" i="1" a="1"/>
  <c r="AE6" i="1" a="1"/>
  <c r="Q6" i="1" a="1"/>
  <c r="N4" i="1" a="1"/>
  <c r="D4" i="1" a="1"/>
  <c r="C4" i="1" l="1"/>
  <c r="AE6" i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Z4" i="1"/>
  <c r="R4" i="1"/>
  <c r="V4" i="1"/>
  <c r="N4" i="1"/>
  <c r="G4" i="1"/>
  <c r="H4" i="1"/>
  <c r="F4" i="1"/>
  <c r="D4" i="1"/>
  <c r="C6" i="1"/>
  <c r="U7" i="1"/>
  <c r="W7" i="1"/>
  <c r="T4" i="1" a="1"/>
  <c r="U4" i="1" a="1"/>
  <c r="AE4" i="1" a="1"/>
  <c r="T7" i="1"/>
  <c r="AH4" i="1" a="1"/>
  <c r="Z7" i="1"/>
  <c r="O4" i="1" a="1"/>
  <c r="S4" i="1" a="1"/>
  <c r="I4" i="1" a="1"/>
  <c r="M7" i="1"/>
  <c r="Y7" i="1"/>
  <c r="O7" i="1"/>
  <c r="P4" i="1" a="1"/>
  <c r="AG4" i="1" a="1"/>
  <c r="AG7" i="1"/>
  <c r="X4" i="1" a="1"/>
  <c r="AF4" i="1" a="1"/>
  <c r="Y4" i="1" a="1"/>
  <c r="J4" i="1" a="1"/>
  <c r="AB7" i="1"/>
  <c r="I7" i="1"/>
  <c r="X7" i="1"/>
  <c r="AA7" i="1"/>
  <c r="S7" i="1"/>
  <c r="R7" i="1"/>
  <c r="AD4" i="1" a="1"/>
  <c r="AH7" i="1"/>
  <c r="AC4" i="1" a="1"/>
  <c r="AC7" i="1"/>
  <c r="K7" i="1"/>
  <c r="P7" i="1"/>
  <c r="M4" i="1" a="1"/>
  <c r="AF7" i="1"/>
  <c r="E4" i="1" a="1"/>
  <c r="L7" i="1"/>
  <c r="Q4" i="1" a="1"/>
  <c r="L4" i="1" a="1"/>
  <c r="W4" i="1" a="1"/>
  <c r="K4" i="1" a="1"/>
  <c r="AA4" i="1" a="1"/>
  <c r="AB4" i="1" a="1"/>
  <c r="AE7" i="1"/>
  <c r="Q7" i="1"/>
  <c r="AD7" i="1"/>
  <c r="E4" i="1" l="1"/>
  <c r="AF4" i="1"/>
  <c r="J4" i="1"/>
  <c r="AG4" i="1"/>
  <c r="AD4" i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<sst xmlns="http://schemas.openxmlformats.org/spreadsheetml/2006/main" count="3167" uniqueCount="320">
  <si>
    <t>DV String</t>
  </si>
  <si>
    <t>EDID Checksum</t>
  </si>
  <si>
    <t>Max Lum</t>
  </si>
  <si>
    <t>Max Lum #</t>
  </si>
  <si>
    <t>Max Lum DVVal</t>
  </si>
  <si>
    <t>Patch 74A0</t>
  </si>
  <si>
    <t>01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</si>
  <si>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</si>
  <si>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</si>
  <si>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</si>
  <si>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</si>
  <si>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</si>
  <si>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</si>
  <si>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</si>
  <si>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</si>
  <si>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</si>
  <si>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001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</si>
  <si>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</si>
  <si>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</si>
  <si>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</si>
  <si>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</si>
  <si>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</si>
  <si>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</si>
  <si>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</si>
  <si>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</si>
  <si>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ML Val</t>
  </si>
  <si>
    <t>75 nits</t>
  </si>
  <si>
    <t>100 nits</t>
  </si>
  <si>
    <t>10</t>
  </si>
  <si>
    <t>11</t>
  </si>
  <si>
    <t>Disabled</t>
  </si>
  <si>
    <t>Color Space:</t>
  </si>
  <si>
    <t>value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</si>
  <si>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</si>
  <si>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</si>
  <si>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</si>
  <si>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</si>
  <si>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</si>
  <si>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</si>
  <si>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</si>
  <si>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</si>
  <si>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</si>
  <si>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</si>
  <si>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</si>
  <si>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</si>
  <si>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</si>
  <si>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</si>
  <si>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</si>
  <si>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</si>
  <si>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</si>
  <si>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</si>
  <si>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</si>
  <si>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</si>
  <si>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</si>
  <si>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</si>
  <si>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</si>
  <si>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</si>
  <si>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</si>
  <si>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</si>
  <si>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</si>
  <si>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</si>
  <si>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</si>
  <si>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Checksum</t>
  </si>
  <si>
    <t>Original FW</t>
  </si>
  <si>
    <t>Output FW</t>
  </si>
  <si>
    <t>c:\exes\gd32\EZ-SP12H2_APP_DFU_GD32_Ver2.06(FB4D).hex</t>
  </si>
  <si>
    <t>EB0146D000</t>
  </si>
  <si>
    <t>Standard
Header</t>
  </si>
  <si>
    <t>Block 0</t>
  </si>
  <si>
    <t>Block 1</t>
  </si>
  <si>
    <t>5d</t>
  </si>
  <si>
    <t>f2</t>
  </si>
  <si>
    <t>1f</t>
  </si>
  <si>
    <t>3f</t>
  </si>
  <si>
    <t>0f</t>
  </si>
  <si>
    <t>7f</t>
  </si>
  <si>
    <t>3d</t>
  </si>
  <si>
    <t>1e</t>
  </si>
  <si>
    <t>5f</t>
  </si>
  <si>
    <t>7e</t>
  </si>
  <si>
    <t>e3</t>
  </si>
  <si>
    <t>c0</t>
  </si>
  <si>
    <t>6e</t>
  </si>
  <si>
    <t>0c</t>
  </si>
  <si>
    <t>3c</t>
  </si>
  <si>
    <t>e2</t>
  </si>
  <si>
    <t>d8</t>
  </si>
  <si>
    <t>c4</t>
  </si>
  <si>
    <t>02</t>
  </si>
  <si>
    <t>03</t>
  </si>
  <si>
    <t>53</t>
  </si>
  <si>
    <t>61</t>
  </si>
  <si>
    <t>60</t>
  </si>
  <si>
    <t>65</t>
  </si>
  <si>
    <t>66</t>
  </si>
  <si>
    <t>04</t>
  </si>
  <si>
    <t>05</t>
  </si>
  <si>
    <t>07</t>
  </si>
  <si>
    <t>12</t>
  </si>
  <si>
    <t>13</t>
  </si>
  <si>
    <t>14</t>
  </si>
  <si>
    <t>16</t>
  </si>
  <si>
    <t>20</t>
  </si>
  <si>
    <t>22</t>
  </si>
  <si>
    <t>40</t>
  </si>
  <si>
    <t>32</t>
  </si>
  <si>
    <t>50</t>
  </si>
  <si>
    <t>15</t>
  </si>
  <si>
    <t>57</t>
  </si>
  <si>
    <t>67</t>
  </si>
  <si>
    <t>83</t>
  </si>
  <si>
    <t>38</t>
  </si>
  <si>
    <t>80</t>
  </si>
  <si>
    <t>78</t>
  </si>
  <si>
    <t>06</t>
  </si>
  <si>
    <t>DV</t>
  </si>
  <si>
    <t>8c</t>
  </si>
  <si>
    <t>0a</t>
  </si>
  <si>
    <t>d0</t>
  </si>
  <si>
    <t>8a</t>
  </si>
  <si>
    <t>e0</t>
  </si>
  <si>
    <t>2d</t>
  </si>
  <si>
    <t>3e</t>
  </si>
  <si>
    <t>8e</t>
  </si>
  <si>
    <t>96</t>
  </si>
  <si>
    <t>21</t>
  </si>
  <si>
    <t>18</t>
  </si>
  <si>
    <t>ff</t>
  </si>
  <si>
    <t>34</t>
  </si>
  <si>
    <t>a3</t>
  </si>
  <si>
    <t>19</t>
  </si>
  <si>
    <t>73</t>
  </si>
  <si>
    <t>41</t>
  </si>
  <si>
    <t>cf</t>
  </si>
  <si>
    <t>74</t>
  </si>
  <si>
    <t>4c</t>
  </si>
  <si>
    <t>b0</t>
  </si>
  <si>
    <t>23</t>
  </si>
  <si>
    <t>09</t>
  </si>
  <si>
    <t>48</t>
  </si>
  <si>
    <t>08</t>
  </si>
  <si>
    <t>81</t>
  </si>
  <si>
    <t>45</t>
  </si>
  <si>
    <t>95</t>
  </si>
  <si>
    <t>e8</t>
  </si>
  <si>
    <t>30</t>
  </si>
  <si>
    <t>70</t>
  </si>
  <si>
    <t>5a</t>
  </si>
  <si>
    <t>58</t>
  </si>
  <si>
    <t>1d</t>
  </si>
  <si>
    <t>3a</t>
  </si>
  <si>
    <t>71</t>
  </si>
  <si>
    <t>2c</t>
  </si>
  <si>
    <t>fc</t>
  </si>
  <si>
    <t>4d</t>
  </si>
  <si>
    <t>43</t>
  </si>
  <si>
    <t>4f</t>
  </si>
  <si>
    <t>33</t>
  </si>
  <si>
    <t>fd</t>
  </si>
  <si>
    <t>4b</t>
  </si>
  <si>
    <t>87</t>
  </si>
  <si>
    <t>Original EDID</t>
  </si>
  <si>
    <t>Patch 7450</t>
  </si>
  <si>
    <t>EDID</t>
  </si>
  <si>
    <t>Patch 73D0</t>
  </si>
  <si>
    <t>Patch 73E0</t>
  </si>
  <si>
    <t>Patch 73F0</t>
  </si>
  <si>
    <t>Patch 7400</t>
  </si>
  <si>
    <t>Patch 7410</t>
  </si>
  <si>
    <t>Patch 7420</t>
  </si>
  <si>
    <t>Patch 7430</t>
  </si>
  <si>
    <t>Patch 7440</t>
  </si>
  <si>
    <t>Patch 7460</t>
  </si>
  <si>
    <t>Patch 7470</t>
  </si>
  <si>
    <t>Patch 7480</t>
  </si>
  <si>
    <t>Patch 7490</t>
  </si>
  <si>
    <t>Patch 74B0</t>
  </si>
  <si>
    <t>Patch 74C0</t>
  </si>
  <si>
    <t>Patch 74D0</t>
  </si>
  <si>
    <t>EB</t>
  </si>
  <si>
    <t>46</t>
  </si>
  <si>
    <t>D0</t>
  </si>
  <si>
    <t>a8</t>
  </si>
  <si>
    <t>1a</t>
  </si>
  <si>
    <t>0e</t>
  </si>
  <si>
    <t>de</t>
  </si>
  <si>
    <t>4e</t>
  </si>
  <si>
    <t>4a</t>
  </si>
  <si>
    <t>ab</t>
  </si>
  <si>
    <t>26</t>
  </si>
  <si>
    <t>55</t>
  </si>
  <si>
    <t>54</t>
  </si>
  <si>
    <t>99</t>
  </si>
  <si>
    <t>84</t>
  </si>
  <si>
    <t>63</t>
  </si>
  <si>
    <t>59</t>
  </si>
  <si>
    <t>90</t>
  </si>
  <si>
    <t>5e</t>
  </si>
  <si>
    <t>62</t>
  </si>
  <si>
    <t>76</t>
  </si>
  <si>
    <t>b8</t>
  </si>
  <si>
    <t>7a</t>
  </si>
  <si>
    <t>c7</t>
  </si>
  <si>
    <t>fb</t>
  </si>
  <si>
    <t>e5</t>
  </si>
  <si>
    <t>eb</t>
  </si>
  <si>
    <t>FF</t>
  </si>
  <si>
    <t>A3</t>
  </si>
  <si>
    <t>0A</t>
  </si>
  <si>
    <t>CF</t>
  </si>
  <si>
    <t>4C</t>
  </si>
  <si>
    <t>B0</t>
  </si>
  <si>
    <t>E8</t>
  </si>
  <si>
    <t>F2</t>
  </si>
  <si>
    <t>5A</t>
  </si>
  <si>
    <t>8A</t>
  </si>
  <si>
    <t>1E</t>
  </si>
  <si>
    <t>3A</t>
  </si>
  <si>
    <t>2D</t>
  </si>
  <si>
    <t>2C</t>
  </si>
  <si>
    <t>FC</t>
  </si>
  <si>
    <t>FD</t>
  </si>
  <si>
    <t>0F</t>
  </si>
  <si>
    <t>3C</t>
  </si>
  <si>
    <t>5D</t>
  </si>
  <si>
    <t>1F</t>
  </si>
  <si>
    <t>7F</t>
  </si>
  <si>
    <t>3D</t>
  </si>
  <si>
    <t>5F</t>
  </si>
  <si>
    <t>7E</t>
  </si>
  <si>
    <t>E3</t>
  </si>
  <si>
    <t>C0</t>
  </si>
  <si>
    <t>0C</t>
  </si>
  <si>
    <t>E2</t>
  </si>
  <si>
    <t>D8</t>
  </si>
  <si>
    <t>C4</t>
  </si>
  <si>
    <t>8C</t>
  </si>
  <si>
    <t>3E</t>
  </si>
  <si>
    <t>8E</t>
  </si>
  <si>
    <t>b2</t>
  </si>
  <si>
    <t>72</t>
  </si>
  <si>
    <t>52</t>
  </si>
  <si>
    <t>3B</t>
  </si>
  <si>
    <t>F1</t>
  </si>
  <si>
    <t>5C</t>
  </si>
  <si>
    <t>5E</t>
  </si>
  <si>
    <t>2F</t>
  </si>
  <si>
    <t>DF</t>
  </si>
  <si>
    <t>E5</t>
  </si>
  <si>
    <t>E6</t>
  </si>
  <si>
    <t>17</t>
  </si>
  <si>
    <t>56</t>
  </si>
  <si>
    <t>47</t>
  </si>
  <si>
    <t>64</t>
  </si>
  <si>
    <t>c:\exes\ez_dv_edid_fw\vava_trial.hex.txt</t>
  </si>
  <si>
    <t>c:\exes\ez_dv_edid_fw\vertex2ezcoo_v3.hex</t>
  </si>
  <si>
    <t>f0</t>
  </si>
  <si>
    <t>0d</t>
  </si>
  <si>
    <t>42</t>
  </si>
  <si>
    <t>0b</t>
  </si>
  <si>
    <t>8b</t>
  </si>
  <si>
    <t>a9</t>
  </si>
  <si>
    <t>c:\exes\ez_dv_edid_fw\ezcoo_espon_ls12000_dv.hex</t>
  </si>
  <si>
    <t>c:\exes\ez_dv_edid_fw\ezcoo_jvc_rs400_dv.hex</t>
  </si>
  <si>
    <t>29</t>
  </si>
  <si>
    <t>dd</t>
  </si>
  <si>
    <t>7d</t>
  </si>
  <si>
    <t>2b</t>
  </si>
  <si>
    <t>6b</t>
  </si>
  <si>
    <t>e9</t>
  </si>
  <si>
    <t>af</t>
  </si>
  <si>
    <t>24</t>
  </si>
  <si>
    <t>b3</t>
  </si>
  <si>
    <t>a2</t>
  </si>
  <si>
    <t>51</t>
  </si>
  <si>
    <t>1c</t>
  </si>
  <si>
    <t>c8</t>
  </si>
  <si>
    <t>49</t>
  </si>
  <si>
    <t>31</t>
  </si>
  <si>
    <t>39</t>
  </si>
  <si>
    <t>9f</t>
  </si>
  <si>
    <t>85</t>
  </si>
  <si>
    <t>94</t>
  </si>
  <si>
    <t>7c</t>
  </si>
  <si>
    <t>68</t>
  </si>
  <si>
    <t>c3</t>
  </si>
  <si>
    <t>e4</t>
  </si>
  <si>
    <t>e6</t>
  </si>
  <si>
    <t>28</t>
  </si>
  <si>
    <t>* Note that detailed timing descriptor for 1366x768 was removed to make room for DV string</t>
  </si>
  <si>
    <t>C:\exes\ez_dv_edid_fw\EZ-SP12H2_ML_696_XNAPPODV.hex</t>
  </si>
  <si>
    <t>C:\exes\gd32\EZ-SP12H2_APP_DFU_GD32_Ver2.06(FB4D).hex</t>
  </si>
  <si>
    <t>C:\exes\gd32\EZ-EX11HAS-PRO_APP_DFU_GD32_Ver2.05(5416).hex</t>
  </si>
  <si>
    <t>C:\exes\gd32\ezcoo_fw_hex_DCI-P3_ML518.hex</t>
  </si>
  <si>
    <t>C:\exes\gd32\ezcoo_fw_DCI-P3_ML385.hex</t>
  </si>
  <si>
    <t>44</t>
  </si>
  <si>
    <t>6d</t>
  </si>
  <si>
    <t>6f</t>
  </si>
  <si>
    <t>3b</t>
  </si>
  <si>
    <t>77</t>
  </si>
  <si>
    <t>cc</t>
  </si>
  <si>
    <t>C:\exes\GD32 UPDATE EX11PRO and SP12H2\EZ-SP12H2_APP_DFU_GD32_Ver2.06(FB4D).hex</t>
  </si>
  <si>
    <t>c:\exes\formovie_v1.hex</t>
  </si>
  <si>
    <t>* Colors are hard-coded for this projector as it is a custom colorspace.</t>
  </si>
  <si>
    <t>*</t>
  </si>
  <si>
    <t>01101</t>
  </si>
  <si>
    <t>000</t>
  </si>
  <si>
    <t>Custom</t>
  </si>
  <si>
    <t xml:space="preserve">   If you want to customize, re-copy these cells from the template sheet.</t>
  </si>
  <si>
    <t>MaxL nits</t>
  </si>
  <si>
    <t>MinL nits</t>
  </si>
  <si>
    <t>a0</t>
  </si>
  <si>
    <t>ee</t>
  </si>
  <si>
    <t>91</t>
  </si>
  <si>
    <t>a1</t>
  </si>
  <si>
    <t>d1</t>
  </si>
  <si>
    <t>1b</t>
  </si>
  <si>
    <t>36</t>
  </si>
  <si>
    <t>f1</t>
  </si>
  <si>
    <t>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</si>
</sst>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38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09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Border="1"/>
    <xf numFmtId="0" fontId="0" fillId="2" borderId="17" xfId="0" applyFill="1" applyBorder="1" applyAlignment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quotePrefix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7" xfId="0" quotePrefix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2" borderId="14" xfId="0" quotePrefix="1" applyFill="1" applyBorder="1" applyAlignment="1" applyProtection="1">
      <alignment horizontal="center"/>
    </xf>
    <xf numFmtId="0" fontId="0" fillId="2" borderId="14" xfId="0" applyFont="1" applyFill="1" applyBorder="1" applyAlignment="1" applyProtection="1">
      <alignment horizontal="center"/>
    </xf>
    <xf numFmtId="0" fontId="0" fillId="2" borderId="15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0" fillId="2" borderId="20" xfId="0" applyFont="1" applyFill="1" applyBorder="1" applyAlignment="1" applyProtection="1">
      <alignment horizontal="center"/>
    </xf>
    <xf numFmtId="164" fontId="0" fillId="0" borderId="0" xfId="0" applyNumberFormat="1"/>
    <xf numFmtId="0" fontId="0" fillId="2" borderId="17" xfId="0" applyFill="1" applyBorder="1" applyAlignment="1" applyProtection="1">
      <alignment horizontal="center"/>
    </xf>
    <xf numFmtId="0" fontId="0" fillId="2" borderId="24" xfId="0" applyFill="1" applyBorder="1" applyAlignment="1" applyProtection="1">
      <alignment horizontal="center"/>
    </xf>
    <xf numFmtId="0" fontId="0" fillId="2" borderId="18" xfId="0" applyFill="1" applyBorder="1" applyAlignment="1" applyProtection="1">
      <alignment horizontal="center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0" fillId="2" borderId="25" xfId="0" applyFill="1" applyBorder="1" applyAlignment="1">
      <alignment horizontal="center"/>
    </xf>
    <xf numFmtId="0" fontId="0" fillId="2" borderId="14" xfId="0" applyFill="1" applyBorder="1" applyAlignment="1" applyProtection="1">
      <alignment horizontal="center"/>
    </xf>
    <xf numFmtId="0" fontId="0" fillId="2" borderId="13" xfId="0" applyFill="1" applyBorder="1" applyAlignment="1" applyProtection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22" xfId="0" applyFont="1" applyFill="1" applyBorder="1"/>
    <xf numFmtId="0" fontId="0" fillId="0" borderId="19" xfId="0" applyBorder="1" applyAlignment="1" applyProtection="1">
      <alignment horizontal="center"/>
      <protection locked="0"/>
    </xf>
    <xf numFmtId="0" fontId="0" fillId="0" borderId="23" xfId="0" applyBorder="1" applyProtection="1">
      <protection locked="0"/>
    </xf>
    <xf numFmtId="0" fontId="0" fillId="0" borderId="0" xfId="0" applyBorder="1" applyProtection="1">
      <protection locked="0"/>
    </xf>
    <xf numFmtId="0" fontId="0" fillId="2" borderId="0" xfId="0" applyFill="1" applyBorder="1"/>
    <xf numFmtId="0" fontId="0" fillId="0" borderId="3" xfId="0" applyBorder="1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1" fillId="2" borderId="0" xfId="0" applyFont="1" applyFill="1" applyBorder="1" applyAlignment="1">
      <alignment horizontal="right"/>
    </xf>
    <xf numFmtId="0" fontId="1" fillId="2" borderId="5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3" borderId="26" xfId="0" applyFill="1" applyBorder="1"/>
    <xf numFmtId="0" fontId="0" fillId="3" borderId="27" xfId="0" applyFill="1" applyBorder="1"/>
    <xf numFmtId="0" fontId="0" fillId="2" borderId="27" xfId="0" applyFill="1" applyBorder="1"/>
    <xf numFmtId="0" fontId="1" fillId="2" borderId="27" xfId="0" applyFont="1" applyFill="1" applyBorder="1"/>
    <xf numFmtId="0" fontId="0" fillId="2" borderId="26" xfId="0" applyFill="1" applyBorder="1"/>
    <xf numFmtId="0" fontId="0" fillId="2" borderId="3" xfId="0" applyFill="1" applyBorder="1"/>
    <xf numFmtId="0" fontId="0" fillId="2" borderId="4" xfId="0" applyFill="1" applyBorder="1"/>
    <xf numFmtId="0" fontId="2" fillId="3" borderId="29" xfId="0" applyFont="1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1" xfId="0" quotePrefix="1" applyFill="1" applyBorder="1" applyAlignment="1" applyProtection="1">
      <alignment horizontal="center"/>
    </xf>
    <xf numFmtId="0" fontId="0" fillId="2" borderId="24" xfId="0" applyFill="1" applyBorder="1"/>
    <xf numFmtId="0" fontId="2" fillId="3" borderId="32" xfId="0" applyFont="1" applyFill="1" applyBorder="1" applyAlignment="1">
      <alignment horizontal="center" vertical="center" wrapText="1"/>
    </xf>
    <xf numFmtId="0" fontId="2" fillId="3" borderId="32" xfId="0" quotePrefix="1" applyFont="1" applyFill="1" applyBorder="1"/>
    <xf numFmtId="0" fontId="0" fillId="2" borderId="33" xfId="0" applyFill="1" applyBorder="1" applyAlignment="1">
      <alignment horizontal="center"/>
    </xf>
    <xf numFmtId="49" fontId="0" fillId="0" borderId="0" xfId="0" applyNumberFormat="1"/>
    <xf numFmtId="0" fontId="0" fillId="0" borderId="0" xfId="0" applyAlignment="1">
      <alignment horizontal="center" vertical="center"/>
    </xf>
    <xf numFmtId="0" fontId="2" fillId="0" borderId="0" xfId="0" applyFont="1"/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6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0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 vertical="center"/>
    </xf>
    <xf numFmtId="49" fontId="0" fillId="0" borderId="34" xfId="0" applyNumberFormat="1" applyBorder="1" applyAlignment="1">
      <alignment horizontal="center" vertical="center"/>
    </xf>
    <xf numFmtId="49" fontId="0" fillId="0" borderId="36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49" fontId="2" fillId="0" borderId="34" xfId="0" applyNumberFormat="1" applyFont="1" applyBorder="1" applyAlignment="1">
      <alignment horizontal="center" vertical="center"/>
    </xf>
    <xf numFmtId="49" fontId="2" fillId="0" borderId="15" xfId="0" applyNumberFormat="1" applyFont="1" applyBorder="1" applyAlignment="1">
      <alignment horizontal="center" vertical="center"/>
    </xf>
    <xf numFmtId="0" fontId="0" fillId="0" borderId="0" xfId="0" applyFill="1" applyBorder="1"/>
    <xf numFmtId="0" fontId="1" fillId="2" borderId="28" xfId="0" quotePrefix="1" applyFont="1" applyFill="1" applyBorder="1"/>
    <xf numFmtId="0" fontId="1" fillId="2" borderId="0" xfId="0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 applyBorder="1" applyAlignment="1">
      <alignment horizontal="left"/>
    </xf>
    <xf numFmtId="0" fontId="1" fillId="2" borderId="28" xfId="0" applyFont="1" applyFill="1" applyBorder="1"/>
    <xf numFmtId="0" fontId="1" fillId="2" borderId="5" xfId="0" applyFont="1" applyFill="1" applyBorder="1" applyAlignment="1">
      <alignment horizontal="left"/>
    </xf>
    <xf numFmtId="49" fontId="2" fillId="0" borderId="0" xfId="0" applyNumberFormat="1" applyFont="1"/>
    <xf numFmtId="49" fontId="0" fillId="0" borderId="0" xfId="0" applyNumberFormat="1" applyFont="1"/>
    <xf numFmtId="0" fontId="2" fillId="0" borderId="0" xfId="0" applyNumberFormat="1" applyFont="1"/>
    <xf numFmtId="0" fontId="0" fillId="0" borderId="0" xfId="0" quotePrefix="1" applyBorder="1"/>
    <xf numFmtId="0" fontId="0" fillId="2" borderId="21" xfId="0" quotePrefix="1" applyFill="1" applyBorder="1" applyAlignment="1" applyProtection="1">
      <alignment horizontal="center"/>
    </xf>
    <xf numFmtId="0" fontId="0" fillId="2" borderId="15" xfId="0" quotePrefix="1" applyFill="1" applyBorder="1" applyAlignment="1" applyProtection="1">
      <alignment horizontal="center"/>
    </xf>
    <xf numFmtId="0" fontId="0" fillId="0" borderId="0" xfId="0" applyNumberFormat="1"/>
    <xf numFmtId="165" fontId="0" fillId="0" borderId="16" xfId="0" applyNumberFormat="1" applyFill="1" applyBorder="1" applyAlignment="1">
      <alignment horizontal="center"/>
    </xf>
    <xf numFmtId="0" fontId="2" fillId="3" borderId="8" xfId="0" quotePrefix="1" applyFont="1" applyFill="1" applyBorder="1" applyAlignment="1">
      <alignment horizontal="center"/>
    </xf>
    <xf numFmtId="0" fontId="2" fillId="3" borderId="9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7" xfId="0" quotePrefix="1" applyFont="1" applyFill="1" applyBorder="1" applyAlignment="1">
      <alignment horizontal="center"/>
    </xf>
  </cellXfs>
  <cellStyles count="1">
    <cellStyle name="Normal" xfId="0" builtinId="0"/>
  </cellStyles>
  <dxfs count="36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9</xdr:row>
          <xdr:rowOff>7620</xdr:rowOff>
        </xdr:from>
        <xdr:to>
          <xdr:col>3</xdr:col>
          <xdr:colOff>2994660</xdr:colOff>
          <xdr:row>12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10</xdr:row>
          <xdr:rowOff>106680</xdr:rowOff>
        </xdr:from>
        <xdr:to>
          <xdr:col>13</xdr:col>
          <xdr:colOff>350520</xdr:colOff>
          <xdr:row>13</xdr:row>
          <xdr:rowOff>144780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891540</xdr:colOff>
          <xdr:row>9</xdr:row>
          <xdr:rowOff>7620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891540</xdr:colOff>
          <xdr:row>10</xdr:row>
          <xdr:rowOff>0</xdr:rowOff>
        </xdr:from>
        <xdr:to>
          <xdr:col>2</xdr:col>
          <xdr:colOff>0</xdr:colOff>
          <xdr:row>10</xdr:row>
          <xdr:rowOff>182880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10</xdr:row>
          <xdr:rowOff>106680</xdr:rowOff>
        </xdr:from>
        <xdr:to>
          <xdr:col>13</xdr:col>
          <xdr:colOff>350520</xdr:colOff>
          <xdr:row>13</xdr:row>
          <xdr:rowOff>144780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822960</xdr:colOff>
          <xdr:row>9</xdr:row>
          <xdr:rowOff>7620</xdr:rowOff>
        </xdr:from>
        <xdr:to>
          <xdr:col>2</xdr:col>
          <xdr:colOff>7620</xdr:colOff>
          <xdr:row>10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822960</xdr:colOff>
          <xdr:row>10</xdr:row>
          <xdr:rowOff>0</xdr:rowOff>
        </xdr:from>
        <xdr:to>
          <xdr:col>2</xdr:col>
          <xdr:colOff>7620</xdr:colOff>
          <xdr:row>11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10</xdr:row>
          <xdr:rowOff>106680</xdr:rowOff>
        </xdr:from>
        <xdr:to>
          <xdr:col>13</xdr:col>
          <xdr:colOff>350520</xdr:colOff>
          <xdr:row>13</xdr:row>
          <xdr:rowOff>144780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777240</xdr:colOff>
          <xdr:row>9</xdr:row>
          <xdr:rowOff>7620</xdr:rowOff>
        </xdr:from>
        <xdr:to>
          <xdr:col>2</xdr:col>
          <xdr:colOff>15240</xdr:colOff>
          <xdr:row>10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777240</xdr:colOff>
          <xdr:row>10</xdr:row>
          <xdr:rowOff>0</xdr:rowOff>
        </xdr:from>
        <xdr:to>
          <xdr:col>2</xdr:col>
          <xdr:colOff>15240</xdr:colOff>
          <xdr:row>11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10</xdr:row>
          <xdr:rowOff>106680</xdr:rowOff>
        </xdr:from>
        <xdr:to>
          <xdr:col>13</xdr:col>
          <xdr:colOff>350520</xdr:colOff>
          <xdr:row>13</xdr:row>
          <xdr:rowOff>144780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777240</xdr:colOff>
          <xdr:row>9</xdr:row>
          <xdr:rowOff>7620</xdr:rowOff>
        </xdr:from>
        <xdr:to>
          <xdr:col>1</xdr:col>
          <xdr:colOff>1028700</xdr:colOff>
          <xdr:row>10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777240</xdr:colOff>
          <xdr:row>10</xdr:row>
          <xdr:rowOff>0</xdr:rowOff>
        </xdr:from>
        <xdr:to>
          <xdr:col>1</xdr:col>
          <xdr:colOff>1028700</xdr:colOff>
          <xdr:row>11</xdr:row>
          <xdr:rowOff>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10</xdr:row>
          <xdr:rowOff>106680</xdr:rowOff>
        </xdr:from>
        <xdr:to>
          <xdr:col>13</xdr:col>
          <xdr:colOff>350520</xdr:colOff>
          <xdr:row>13</xdr:row>
          <xdr:rowOff>144780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769620</xdr:colOff>
          <xdr:row>8</xdr:row>
          <xdr:rowOff>182880</xdr:rowOff>
        </xdr:from>
        <xdr:to>
          <xdr:col>1</xdr:col>
          <xdr:colOff>1013460</xdr:colOff>
          <xdr:row>9</xdr:row>
          <xdr:rowOff>175260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5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769620</xdr:colOff>
          <xdr:row>9</xdr:row>
          <xdr:rowOff>175260</xdr:rowOff>
        </xdr:from>
        <xdr:to>
          <xdr:col>1</xdr:col>
          <xdr:colOff>1013460</xdr:colOff>
          <xdr:row>10</xdr:row>
          <xdr:rowOff>175260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5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10</xdr:row>
          <xdr:rowOff>106680</xdr:rowOff>
        </xdr:from>
        <xdr:to>
          <xdr:col>13</xdr:col>
          <xdr:colOff>350520</xdr:colOff>
          <xdr:row>13</xdr:row>
          <xdr:rowOff>144780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792480</xdr:colOff>
          <xdr:row>8</xdr:row>
          <xdr:rowOff>182880</xdr:rowOff>
        </xdr:from>
        <xdr:to>
          <xdr:col>1</xdr:col>
          <xdr:colOff>1028700</xdr:colOff>
          <xdr:row>9</xdr:row>
          <xdr:rowOff>175260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792480</xdr:colOff>
          <xdr:row>9</xdr:row>
          <xdr:rowOff>175260</xdr:rowOff>
        </xdr:from>
        <xdr:to>
          <xdr:col>1</xdr:col>
          <xdr:colOff>1028700</xdr:colOff>
          <xdr:row>10</xdr:row>
          <xdr:rowOff>175260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6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10</xdr:row>
          <xdr:rowOff>106680</xdr:rowOff>
        </xdr:from>
        <xdr:to>
          <xdr:col>13</xdr:col>
          <xdr:colOff>350520</xdr:colOff>
          <xdr:row>13</xdr:row>
          <xdr:rowOff>144780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777240</xdr:colOff>
          <xdr:row>9</xdr:row>
          <xdr:rowOff>7620</xdr:rowOff>
        </xdr:from>
        <xdr:to>
          <xdr:col>1</xdr:col>
          <xdr:colOff>1028700</xdr:colOff>
          <xdr:row>10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7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777240</xdr:colOff>
          <xdr:row>10</xdr:row>
          <xdr:rowOff>0</xdr:rowOff>
        </xdr:from>
        <xdr:to>
          <xdr:col>1</xdr:col>
          <xdr:colOff>1028700</xdr:colOff>
          <xdr:row>11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7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10</xdr:row>
          <xdr:rowOff>106680</xdr:rowOff>
        </xdr:from>
        <xdr:to>
          <xdr:col>13</xdr:col>
          <xdr:colOff>350520</xdr:colOff>
          <xdr:row>13</xdr:row>
          <xdr:rowOff>144780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792480</xdr:colOff>
          <xdr:row>8</xdr:row>
          <xdr:rowOff>182880</xdr:rowOff>
        </xdr:from>
        <xdr:to>
          <xdr:col>1</xdr:col>
          <xdr:colOff>1028700</xdr:colOff>
          <xdr:row>9</xdr:row>
          <xdr:rowOff>175260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792480</xdr:colOff>
          <xdr:row>9</xdr:row>
          <xdr:rowOff>175260</xdr:rowOff>
        </xdr:from>
        <xdr:to>
          <xdr:col>1</xdr:col>
          <xdr:colOff>1028700</xdr:colOff>
          <xdr:row>10</xdr:row>
          <xdr:rowOff>175260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10</xdr:row>
          <xdr:rowOff>106680</xdr:rowOff>
        </xdr:from>
        <xdr:to>
          <xdr:col>13</xdr:col>
          <xdr:colOff>350520</xdr:colOff>
          <xdr:row>13</xdr:row>
          <xdr:rowOff>144780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E295A0B1-292B-4B37-A557-A6DD91CDEB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777240</xdr:colOff>
          <xdr:row>9</xdr:row>
          <xdr:rowOff>7620</xdr:rowOff>
        </xdr:from>
        <xdr:to>
          <xdr:col>1</xdr:col>
          <xdr:colOff>1028700</xdr:colOff>
          <xdr:row>10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A4BDBB6D-A019-42C0-8BDC-5104A850F9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777240</xdr:colOff>
          <xdr:row>10</xdr:row>
          <xdr:rowOff>0</xdr:rowOff>
        </xdr:from>
        <xdr:to>
          <xdr:col>1</xdr:col>
          <xdr:colOff>1028700</xdr:colOff>
          <xdr:row>11</xdr:row>
          <xdr:rowOff>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98142289-82FE-4AFF-8691-6F2AB4F6AF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1"/>
  <sheetViews>
    <sheetView workbookViewId="0">
      <selection activeCell="C44" sqref="C44"/>
    </sheetView>
  </sheetViews>
  <sheetFormatPr defaultRowHeight="14.4" x14ac:dyDescent="0.3"/>
  <cols>
    <col min="2" max="2" width="17.44140625" customWidth="1"/>
    <col min="3" max="8" width="44.44140625" customWidth="1"/>
    <col min="12" max="12" width="32.777343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2" t="s">
        <v>5</v>
      </c>
      <c r="C7" s="1" t="str">
        <f>_xlfn.CONCAT(":1074A000060501",C$5,"8C",IntelHexChecksum(_xlfn.CONCAT("1074A000060501",C$5,"8C")))</f>
        <v>:1074A000060501EB0146D0004507015798A9538C0A</v>
      </c>
      <c r="D7" s="1" t="str">
        <f t="shared" ref="D7:AH7" si="2">_xlfn.CONCAT(":1074A000060501",D$5,"8C",IntelHexChecksum(_xlfn.CONCAT("1074A000060501",D$5,"8C")))</f>
        <v>:1074A000060501EB0146D0004507095798A9538C02</v>
      </c>
      <c r="E7" s="1" t="str">
        <f t="shared" si="2"/>
        <v>:1074A000060501EB0146D0004507115798A9538CFA</v>
      </c>
      <c r="F7" s="1" t="str">
        <f t="shared" si="2"/>
        <v>:1074A000060501EB0146D0004507195798A9538CF2</v>
      </c>
      <c r="G7" s="1" t="str">
        <f t="shared" si="2"/>
        <v>:1074A000060501EB0146D0004507215798A9538CEA</v>
      </c>
      <c r="H7" s="1" t="str">
        <f t="shared" si="2"/>
        <v>:1074A000060501EB0146D0004507295798A9538CE2</v>
      </c>
      <c r="I7" s="1" t="str">
        <f t="shared" si="2"/>
        <v>:1074A000060501EB0146D0004507315798A9538CDA</v>
      </c>
      <c r="J7" s="1" t="str">
        <f t="shared" si="2"/>
        <v>:1074A000060501EB0146D0004507395798A9538CD2</v>
      </c>
      <c r="K7" s="1" t="str">
        <f t="shared" si="2"/>
        <v>:1074A000060501EB0146D0004507415798A9538CCA</v>
      </c>
      <c r="L7" s="1" t="str">
        <f t="shared" si="2"/>
        <v>:1074A000060501EB0146D0004507495798A9538CC2</v>
      </c>
      <c r="M7" s="1" t="str">
        <f t="shared" si="2"/>
        <v>:1074A000060501EB0146D0004507515798A9538CBA</v>
      </c>
      <c r="N7" s="1" t="str">
        <f t="shared" si="2"/>
        <v>:1074A000060501EB0146D0004507595798A9538CB2</v>
      </c>
      <c r="O7" s="1" t="str">
        <f t="shared" si="2"/>
        <v>:1074A000060501EB0146D0004507615798A9538CAA</v>
      </c>
      <c r="P7" s="1" t="str">
        <f t="shared" si="2"/>
        <v>:1074A000060501EB0146D0004507695798A9538CA2</v>
      </c>
      <c r="Q7" s="1" t="str">
        <f t="shared" si="2"/>
        <v>:1074A000060501EB0146D0004507715798A9538C9A</v>
      </c>
      <c r="R7" s="1" t="str">
        <f t="shared" si="2"/>
        <v>:1074A000060501EB0146D0004507795798A9538C92</v>
      </c>
      <c r="S7" s="1" t="str">
        <f t="shared" si="2"/>
        <v>:1074A000060501EB0146D0004507815798A9538C8A</v>
      </c>
      <c r="T7" s="1" t="str">
        <f t="shared" si="2"/>
        <v>:1074A000060501EB0146D0004507895798A9538C82</v>
      </c>
      <c r="U7" s="1" t="str">
        <f t="shared" si="2"/>
        <v>:1074A000060501EB0146D0004507915798A9538C7A</v>
      </c>
      <c r="V7" s="1" t="str">
        <f t="shared" si="2"/>
        <v>:1074A000060501EB0146D0004507995798A9538C72</v>
      </c>
      <c r="W7" s="1" t="str">
        <f t="shared" si="2"/>
        <v>:1074A000060501EB0146D0004507A15798A9538C6A</v>
      </c>
      <c r="X7" s="1" t="str">
        <f t="shared" si="2"/>
        <v>:1074A000060501EB0146D0004507A95798A9538C62</v>
      </c>
      <c r="Y7" s="1" t="str">
        <f t="shared" si="2"/>
        <v>:1074A000060501EB0146D0004507B15798A9538C5A</v>
      </c>
      <c r="Z7" s="1" t="str">
        <f t="shared" si="2"/>
        <v>:1074A000060501EB0146D0004507B95798A9538C52</v>
      </c>
      <c r="AA7" s="1" t="str">
        <f t="shared" si="2"/>
        <v>:1074A000060501EB0146D0004507C15798A9538C4A</v>
      </c>
      <c r="AB7" s="1" t="str">
        <f t="shared" si="2"/>
        <v>:1074A000060501EB0146D0004507C95798A9538C42</v>
      </c>
      <c r="AC7" s="1" t="str">
        <f t="shared" si="2"/>
        <v>:1074A000060501EB0146D0004507D15798A9538C3A</v>
      </c>
      <c r="AD7" s="1" t="str">
        <f t="shared" si="2"/>
        <v>:1074A000060501EB0146D0004507D95798A9538C32</v>
      </c>
      <c r="AE7" s="1" t="str">
        <f t="shared" si="2"/>
        <v>:1074A000060501EB0146D0004507E15798A9538C2A</v>
      </c>
      <c r="AF7" s="1" t="str">
        <f t="shared" si="2"/>
        <v>:1074A000060501EB0146D0004507E95798A9538C22</v>
      </c>
      <c r="AG7" s="1" t="str">
        <f t="shared" si="2"/>
        <v>:1074A000060501EB0146D0004507F15798A9538C1A</v>
      </c>
      <c r="AH7" s="1" t="str">
        <f t="shared" si="2"/>
        <v>:1074A000060501EB0146D0004507F95798A9538C12</v>
      </c>
    </row>
    <row r="9" spans="2:34" x14ac:dyDescent="0.3">
      <c r="C9" s="1"/>
      <c r="D9" s="1"/>
      <c r="E9" s="1"/>
    </row>
    <row r="10" spans="2:34" x14ac:dyDescent="0.3">
      <c r="C10" s="4"/>
    </row>
    <row r="11" spans="2:34" x14ac:dyDescent="0.3">
      <c r="C11" s="4"/>
    </row>
    <row r="12" spans="2:34" x14ac:dyDescent="0.3">
      <c r="C12" s="4"/>
    </row>
    <row r="13" spans="2:34" x14ac:dyDescent="0.3">
      <c r="C13" s="4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TheFWs">
                <anchor moveWithCells="1" sizeWithCells="1">
                  <from>
                    <xdr:col>3</xdr:col>
                    <xdr:colOff>266700</xdr:colOff>
                    <xdr:row>9</xdr:row>
                    <xdr:rowOff>7620</xdr:rowOff>
                  </from>
                  <to>
                    <xdr:col>3</xdr:col>
                    <xdr:colOff>2994660</xdr:colOff>
                    <xdr:row>12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4ED48-9DD9-469A-B29F-B834345FCD31}">
  <sheetPr codeName="Sheet6"/>
  <dimension ref="B2:BB47"/>
  <sheetViews>
    <sheetView workbookViewId="0">
      <selection activeCell="N20" sqref="N20"/>
    </sheetView>
  </sheetViews>
  <sheetFormatPr defaultRowHeight="14.4" x14ac:dyDescent="0.3"/>
  <cols>
    <col min="2" max="2" width="15.5546875" customWidth="1"/>
    <col min="5" max="5" width="12.33203125" customWidth="1"/>
    <col min="8" max="8" width="12.88671875" customWidth="1"/>
    <col min="14" max="14" width="14.5546875" customWidth="1"/>
    <col min="16" max="16" width="13.5546875" customWidth="1"/>
  </cols>
  <sheetData>
    <row r="2" spans="2:54" ht="15" thickBot="1" x14ac:dyDescent="0.35"/>
    <row r="3" spans="2:54" ht="15" thickBot="1" x14ac:dyDescent="0.35">
      <c r="H3" s="35" t="s">
        <v>31</v>
      </c>
      <c r="I3" s="37" t="s">
        <v>44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61" t="s">
        <v>66</v>
      </c>
      <c r="C5" s="106" t="str">
        <f>DEC2HEX(_xlfn.BITLSHIFT(BIN2DEC(C8),5)+_xlfn.BITLSHIFT(BIN2DEC(D8),2)+_xlfn.BITLSHIFT(BIN2DEC(E8),1)+BIN2DEC(F8))</f>
        <v>45</v>
      </c>
      <c r="D5" s="106"/>
      <c r="E5" s="106"/>
      <c r="F5" s="107"/>
      <c r="G5" s="108" t="str">
        <f>DEC2HEX(_xlfn.BITLSHIFT(BIN2DEC(G8),3)+_xlfn.BITLSHIFT(BIN2DEC(H8),2)+BIN2DEC(I8),2)</f>
        <v>03</v>
      </c>
      <c r="H5" s="104"/>
      <c r="I5" s="105"/>
      <c r="J5" s="108" t="str">
        <f>DEC2HEX(_xlfn.BITLSHIFT(BIN2DEC(J8),3)+_xlfn.BITLSHIFT(BIN2DEC(K8),1)+BIN2DEC(L8),2)</f>
        <v>48</v>
      </c>
      <c r="K5" s="104"/>
      <c r="L5" s="105"/>
      <c r="M5" s="104" t="str">
        <f>BIN2HEX(_xlfn.CONCAT(M8,N8),2)</f>
        <v>86</v>
      </c>
      <c r="N5" s="105"/>
      <c r="O5" s="104" t="str">
        <f>BIN2HEX(_xlfn.CONCAT(O8,P8),2)</f>
        <v>60</v>
      </c>
      <c r="P5" s="105"/>
      <c r="Q5" s="104" t="str">
        <f>BIN2HEX(_xlfn.CONCAT(Q8,R8),2)</f>
        <v>76</v>
      </c>
      <c r="R5" s="105"/>
      <c r="S5" s="104" t="str">
        <f>BIN2HEX(_xlfn.CONCAT(S8,T8),2)</f>
        <v>8F</v>
      </c>
      <c r="T5" s="105"/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s="102" cm="1">
        <f t="array" ref="AQ5">ROUND(PQ2nits((20*$AO5)/(2055+31*65)),3)</f>
        <v>0</v>
      </c>
      <c r="AR5" s="12" t="s">
        <v>22</v>
      </c>
      <c r="AS5" s="11" t="s">
        <v>7</v>
      </c>
      <c r="AU5" s="13" t="s">
        <v>35</v>
      </c>
      <c r="AV5" s="6" t="s">
        <v>7</v>
      </c>
    </row>
    <row r="6" spans="2:54" ht="30.75" customHeight="1" x14ac:dyDescent="0.3">
      <c r="B6" s="60" t="s">
        <v>67</v>
      </c>
      <c r="C6" s="56" t="s">
        <v>10</v>
      </c>
      <c r="D6" s="30" t="s">
        <v>12</v>
      </c>
      <c r="E6" s="31" t="s">
        <v>17</v>
      </c>
      <c r="F6" s="32" t="s">
        <v>8</v>
      </c>
      <c r="G6" s="33" t="s">
        <v>60</v>
      </c>
      <c r="H6" s="31" t="s">
        <v>40</v>
      </c>
      <c r="I6" s="34" t="s">
        <v>59</v>
      </c>
      <c r="J6" s="33" t="s">
        <v>61</v>
      </c>
      <c r="K6" s="30" t="s">
        <v>11</v>
      </c>
      <c r="L6" s="32" t="s">
        <v>37</v>
      </c>
      <c r="M6" s="30" t="s">
        <v>58</v>
      </c>
      <c r="N6" s="32" t="s">
        <v>24</v>
      </c>
      <c r="O6" s="30" t="s">
        <v>57</v>
      </c>
      <c r="P6" s="32" t="s">
        <v>23</v>
      </c>
      <c r="Q6" s="30" t="s">
        <v>56</v>
      </c>
      <c r="R6" s="32" t="s">
        <v>14</v>
      </c>
      <c r="S6" s="30" t="s">
        <v>55</v>
      </c>
      <c r="T6" s="32" t="s">
        <v>13</v>
      </c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s="102" cm="1">
        <f t="array" ref="AQ6">ROUND(PQ2nits((20*$AO6)/(2055+31*65)),3)</f>
        <v>1E-3</v>
      </c>
      <c r="AR6" s="12" t="s">
        <v>21</v>
      </c>
      <c r="AS6" s="11" t="s">
        <v>6</v>
      </c>
      <c r="AU6" s="13" t="s">
        <v>36</v>
      </c>
      <c r="AV6" s="6" t="s">
        <v>6</v>
      </c>
    </row>
    <row r="7" spans="2:54" x14ac:dyDescent="0.3">
      <c r="B7" s="59"/>
      <c r="C7" s="57">
        <v>2</v>
      </c>
      <c r="D7" s="10" t="s">
        <v>20</v>
      </c>
      <c r="E7" s="14" t="s">
        <v>19</v>
      </c>
      <c r="F7" s="14" t="s">
        <v>18</v>
      </c>
      <c r="G7" s="103">
        <v>0</v>
      </c>
      <c r="H7" s="14" t="s">
        <v>19</v>
      </c>
      <c r="I7" s="15" t="s">
        <v>27</v>
      </c>
      <c r="J7" s="26">
        <v>385</v>
      </c>
      <c r="K7" s="27">
        <v>0</v>
      </c>
      <c r="L7" s="16" t="s">
        <v>35</v>
      </c>
      <c r="M7" s="23">
        <f>INDEX(AX15:AX17,MATCH(I3,AU15:AU17,0))</f>
        <v>0.26500000000000001</v>
      </c>
      <c r="N7" s="36" t="s">
        <v>19</v>
      </c>
      <c r="O7" s="24">
        <f>INDEX(AY15:AY17,MATCH($I$3,$AU$15:$AU$17,0))</f>
        <v>0.69</v>
      </c>
      <c r="P7" s="36" t="s">
        <v>19</v>
      </c>
      <c r="Q7" s="24">
        <f>INDEX(AV15:AV17,MATCH($I$3,$AU$15:$AU$17,0))</f>
        <v>0.68</v>
      </c>
      <c r="R7" s="25">
        <f>INDEX(AZ15:AZ17,MATCH($I$3,$AU$15:$AU$17,0))</f>
        <v>0.15</v>
      </c>
      <c r="S7" s="23">
        <f>INDEX(AW15:AW17,MATCH($I$3,$AU$15:$AU$17,0))</f>
        <v>0.32</v>
      </c>
      <c r="T7" s="25">
        <f>INDEX(BA15:BA17,MATCH($I$3,$AU$15:$AU$17,0))</f>
        <v>0.06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s="102" cm="1">
        <f t="array" ref="AQ7">ROUND(PQ2nits((20*$AO7)/(2055+31*65)),3)</f>
        <v>2E-3</v>
      </c>
      <c r="AR7" s="12" t="s">
        <v>26</v>
      </c>
      <c r="AS7" s="11" t="s">
        <v>28</v>
      </c>
      <c r="AU7" s="13" t="s">
        <v>38</v>
      </c>
      <c r="AV7" s="6" t="s">
        <v>28</v>
      </c>
    </row>
    <row r="8" spans="2:54" s="7" customFormat="1" ht="15" thickBot="1" x14ac:dyDescent="0.35">
      <c r="B8" s="62"/>
      <c r="C8" s="58" t="s">
        <v>15</v>
      </c>
      <c r="D8" s="17" t="s">
        <v>16</v>
      </c>
      <c r="E8" s="18">
        <f>IF(EXACT(E7,"Supported"),1,0)</f>
        <v>0</v>
      </c>
      <c r="F8" s="18">
        <f>IF(EXACT(F7,"Supported"),1,0)</f>
        <v>1</v>
      </c>
      <c r="G8" s="20" t="str">
        <f>DEC2BIN(_xlfn.XLOOKUP(G7,AQ5:AQ36,AO5:AO36),5)</f>
        <v>00000</v>
      </c>
      <c r="H8" s="18">
        <f>IF(EXACT(H7,"Supported"),1,0)</f>
        <v>0</v>
      </c>
      <c r="I8" s="19" t="str">
        <f>IF(EXACT(E7,"Not Supported"),"11",INDEX(AS5:AS8,MATCH(I7,AR5:AR8,0)))</f>
        <v>11</v>
      </c>
      <c r="J8" s="20" t="str">
        <f>DEC2BIN(VLOOKUP(J7,AN5:AO36,2),5)</f>
        <v>01001</v>
      </c>
      <c r="K8" s="28">
        <v>0</v>
      </c>
      <c r="L8" s="19" t="str">
        <f>VLOOKUP(L7,AU5:AV8,2)</f>
        <v>00</v>
      </c>
      <c r="M8" s="29" t="str">
        <f>DEC2BIN(M7/( 0.49609375/127),7)</f>
        <v>1000011</v>
      </c>
      <c r="N8" s="21">
        <f>IF(AND(EXACT(N7,"Supported"),EXACT(P7,"Not Supported")),1,0)</f>
        <v>0</v>
      </c>
      <c r="O8" s="29" t="str">
        <f>DEC2BIN((O7-0.5)/((0.99609375-0.5)/127),7)</f>
        <v>0110000</v>
      </c>
      <c r="P8" s="21">
        <f>IF(AND(EXACT(P7,"Supported"),EXACT(N7,"Not Supported")),1,0)</f>
        <v>0</v>
      </c>
      <c r="Q8" s="20" t="str">
        <f>DEC2BIN((Q7-0.625)/((0.74609375-0.625)/31),5)</f>
        <v>01110</v>
      </c>
      <c r="R8" s="19" t="str">
        <f>DEC2BIN((R7-0.125)/((0.15234375-0.125)/7),3)</f>
        <v>110</v>
      </c>
      <c r="S8" s="20" t="str">
        <f>DEC2BIN((S7-0.25)/((0.37109375-0.25)/31),5)</f>
        <v>10001</v>
      </c>
      <c r="T8" s="19" t="str">
        <f>DEC2BIN((T7-0.03125)/((0.05859375-0.03125)/7),3)</f>
        <v>111</v>
      </c>
      <c r="AK8"/>
      <c r="AL8"/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s="102" cm="1">
        <f t="array" ref="AQ8">ROUND(PQ2nits((20*$AO8)/(2055+31*65)),3)</f>
        <v>5.0000000000000001E-3</v>
      </c>
      <c r="AR8" s="11" t="s">
        <v>27</v>
      </c>
      <c r="AS8" s="11" t="s">
        <v>29</v>
      </c>
      <c r="AU8" s="13" t="s">
        <v>39</v>
      </c>
      <c r="AV8" s="8" t="s">
        <v>29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s="102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9" t="s">
        <v>63</v>
      </c>
      <c r="C10" s="40" t="s">
        <v>291</v>
      </c>
      <c r="D10" s="41"/>
      <c r="E10" s="41"/>
      <c r="F10" s="41"/>
      <c r="G10" s="41"/>
      <c r="H10" s="41"/>
      <c r="I10" s="41"/>
      <c r="J10" s="42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s="102" cm="1">
        <f t="array" ref="AQ10">ROUND(PQ2nits((20*$AO10)/(2055+31*65)),3)</f>
        <v>1.2999999999999999E-2</v>
      </c>
      <c r="AR10" s="5"/>
    </row>
    <row r="11" spans="2:54" ht="15" thickBot="1" x14ac:dyDescent="0.35">
      <c r="B11" s="50" t="s">
        <v>64</v>
      </c>
      <c r="C11" s="38" t="s">
        <v>294</v>
      </c>
      <c r="D11" s="9"/>
      <c r="E11" s="9"/>
      <c r="F11" s="9"/>
      <c r="G11" s="9"/>
      <c r="H11" s="9"/>
      <c r="I11" s="9"/>
      <c r="J11" s="43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s="102" cm="1">
        <f t="array" ref="AQ11">ROUND(PQ2nits((20*$AO11)/(2055+31*65)),3)</f>
        <v>1.9E-2</v>
      </c>
      <c r="AR11" s="5"/>
    </row>
    <row r="12" spans="2:54" x14ac:dyDescent="0.3">
      <c r="B12" s="53" t="s">
        <v>0</v>
      </c>
      <c r="C12" s="54" t="str">
        <f>_xlfn.CONCAT(B5:T5)</f>
        <v>EB0146D0004503488660768F</v>
      </c>
      <c r="D12" s="54"/>
      <c r="E12" s="54"/>
      <c r="F12" s="54"/>
      <c r="G12" s="54"/>
      <c r="H12" s="54"/>
      <c r="I12" s="54"/>
      <c r="J12" s="55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s="102" cm="1">
        <f t="array" ref="AQ12">ROUND(PQ2nits((20*$AO12)/(2055+31*65)),3)</f>
        <v>2.5999999999999999E-2</v>
      </c>
    </row>
    <row r="13" spans="2:54" x14ac:dyDescent="0.3">
      <c r="B13" s="51" t="s">
        <v>62</v>
      </c>
      <c r="C13" s="45" t="str" cm="1">
        <f t="array" ref="C13">EDIDCheckSum(C12)</f>
        <v>5D</v>
      </c>
      <c r="D13" s="39"/>
      <c r="E13" s="39"/>
      <c r="F13" s="39"/>
      <c r="G13" s="39"/>
      <c r="H13" s="39"/>
      <c r="I13" s="39"/>
      <c r="J13" s="44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s="102" cm="1">
        <f t="array" ref="AQ13">ROUND(PQ2nits((20*$AO13)/(2055+31*65)),3)</f>
        <v>3.5000000000000003E-2</v>
      </c>
    </row>
    <row r="14" spans="2:54" ht="15" thickBot="1" x14ac:dyDescent="0.35">
      <c r="B14" s="90" t="s">
        <v>5</v>
      </c>
      <c r="C14" s="46" t="str">
        <f>_xlfn.CONCAT(":1074A000060501",C$12,"8C",IntelHexChecksum(_xlfn.CONCAT("1074A000060501",C$12,"8C")))</f>
        <v>:1074A000060501EB0146D0004503488660768F8CC7</v>
      </c>
      <c r="D14" s="47"/>
      <c r="E14" s="47"/>
      <c r="F14" s="47"/>
      <c r="G14" s="47"/>
      <c r="H14" s="47"/>
      <c r="I14" s="47"/>
      <c r="J14" s="48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s="102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C15" s="1"/>
      <c r="G15" s="89"/>
      <c r="H15" s="89"/>
      <c r="I15" s="89"/>
      <c r="J15" s="89"/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s="102" cm="1">
        <f t="array" ref="AQ15">ROUND(PQ2nits((20*$AO15)/(2055+31*65)),3)</f>
        <v>5.8000000000000003E-2</v>
      </c>
      <c r="AU15" s="6" t="s">
        <v>42</v>
      </c>
      <c r="AV15" s="22">
        <v>0.64</v>
      </c>
      <c r="AW15" s="22">
        <v>0.33</v>
      </c>
      <c r="AX15" s="22">
        <v>0.3</v>
      </c>
      <c r="AY15" s="22">
        <v>0.6</v>
      </c>
      <c r="AZ15" s="22">
        <v>0.15</v>
      </c>
      <c r="BA15" s="22">
        <v>0.06</v>
      </c>
      <c r="BB15" t="s">
        <v>53</v>
      </c>
    </row>
    <row r="16" spans="2:54" x14ac:dyDescent="0.3">
      <c r="G16" s="89"/>
      <c r="H16" s="89"/>
      <c r="I16" s="89"/>
      <c r="J16" s="89"/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s="102" cm="1">
        <f t="array" ref="AQ16">ROUND(PQ2nits((20*$AO16)/(2055+31*65)),3)</f>
        <v>7.1999999999999995E-2</v>
      </c>
      <c r="AU16" s="6" t="s">
        <v>43</v>
      </c>
      <c r="AV16" s="22">
        <v>0.70799999999999996</v>
      </c>
      <c r="AW16" s="22">
        <v>0.29199999999999998</v>
      </c>
      <c r="AX16" s="22">
        <v>0.17</v>
      </c>
      <c r="AY16" s="22">
        <v>0.79700000000000004</v>
      </c>
      <c r="AZ16" s="22">
        <v>0.13100000000000001</v>
      </c>
      <c r="BA16" s="22">
        <v>4.5999999999999999E-2</v>
      </c>
      <c r="BB16" t="s">
        <v>51</v>
      </c>
    </row>
    <row r="17" spans="7:54" x14ac:dyDescent="0.3">
      <c r="G17" s="89"/>
      <c r="H17" s="89"/>
      <c r="I17" s="89"/>
      <c r="J17" s="89"/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s="102" cm="1">
        <f t="array" ref="AQ17">ROUND(PQ2nits((20*$AO17)/(2055+31*65)),3)</f>
        <v>8.7999999999999995E-2</v>
      </c>
      <c r="AU17" s="6" t="s">
        <v>44</v>
      </c>
      <c r="AV17" s="22">
        <v>0.68</v>
      </c>
      <c r="AW17" s="22">
        <v>0.32</v>
      </c>
      <c r="AX17" s="22">
        <v>0.26500000000000001</v>
      </c>
      <c r="AY17" s="22">
        <v>0.69</v>
      </c>
      <c r="AZ17" s="22">
        <v>0.15</v>
      </c>
      <c r="BA17" s="22">
        <v>0.06</v>
      </c>
      <c r="BB17" t="s">
        <v>52</v>
      </c>
    </row>
    <row r="18" spans="7:54" x14ac:dyDescent="0.3"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s="102" cm="1">
        <f t="array" ref="AQ18">ROUND(PQ2nits((20*$AO18)/(2055+31*65)),3)</f>
        <v>0.106</v>
      </c>
    </row>
    <row r="19" spans="7:54" x14ac:dyDescent="0.3"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s="102" cm="1">
        <f t="array" ref="AQ19">ROUND(PQ2nits((20*$AO19)/(2055+31*65)),3)</f>
        <v>0.127</v>
      </c>
    </row>
    <row r="20" spans="7:54" x14ac:dyDescent="0.3"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s="102" cm="1">
        <f t="array" ref="AQ20">ROUND(PQ2nits((20*$AO20)/(2055+31*65)),3)</f>
        <v>0.15</v>
      </c>
    </row>
    <row r="21" spans="7:54" x14ac:dyDescent="0.3"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s="102" cm="1">
        <f t="array" ref="AQ21">ROUND(PQ2nits((20*$AO21)/(2055+31*65)),3)</f>
        <v>0.17599999999999999</v>
      </c>
    </row>
    <row r="22" spans="7:54" x14ac:dyDescent="0.3"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s="102" cm="1">
        <f t="array" ref="AQ22">ROUND(PQ2nits((20*$AO22)/(2055+31*65)),3)</f>
        <v>0.20399999999999999</v>
      </c>
    </row>
    <row r="23" spans="7:54" x14ac:dyDescent="0.3"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s="102" cm="1">
        <f t="array" ref="AQ23">ROUND(PQ2nits((20*$AO23)/(2055+31*65)),3)</f>
        <v>0.23599999999999999</v>
      </c>
    </row>
    <row r="24" spans="7:54" x14ac:dyDescent="0.3"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s="102" cm="1">
        <f t="array" ref="AQ24">ROUND(PQ2nits((20*$AO24)/(2055+31*65)),3)</f>
        <v>0.27100000000000002</v>
      </c>
    </row>
    <row r="25" spans="7:54" x14ac:dyDescent="0.3"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s="102" cm="1">
        <f t="array" ref="AQ25">ROUND(PQ2nits((20*$AO25)/(2055+31*65)),3)</f>
        <v>0.31</v>
      </c>
    </row>
    <row r="26" spans="7:54" x14ac:dyDescent="0.3"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s="102" cm="1">
        <f t="array" ref="AQ26">ROUND(PQ2nits((20*$AO26)/(2055+31*65)),3)</f>
        <v>0.35299999999999998</v>
      </c>
    </row>
    <row r="27" spans="7:54" x14ac:dyDescent="0.3"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s="102" cm="1">
        <f t="array" ref="AQ27">ROUND(PQ2nits((20*$AO27)/(2055+31*65)),3)</f>
        <v>0.39900000000000002</v>
      </c>
    </row>
    <row r="28" spans="7:54" x14ac:dyDescent="0.3"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s="102" cm="1">
        <f t="array" ref="AQ28">ROUND(PQ2nits((20*$AO28)/(2055+31*65)),3)</f>
        <v>0.45</v>
      </c>
    </row>
    <row r="29" spans="7:54" x14ac:dyDescent="0.3"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s="102" cm="1">
        <f t="array" ref="AQ29">ROUND(PQ2nits((20*$AO29)/(2055+31*65)),3)</f>
        <v>0.50600000000000001</v>
      </c>
    </row>
    <row r="30" spans="7:54" x14ac:dyDescent="0.3"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s="102" cm="1">
        <f t="array" ref="AQ30">ROUND(PQ2nits((20*$AO30)/(2055+31*65)),3)</f>
        <v>0.56599999999999995</v>
      </c>
    </row>
    <row r="31" spans="7:54" x14ac:dyDescent="0.3"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s="102" cm="1">
        <f t="array" ref="AQ31">ROUND(PQ2nits((20*$AO31)/(2055+31*65)),3)</f>
        <v>0.63100000000000001</v>
      </c>
    </row>
    <row r="32" spans="7:54" x14ac:dyDescent="0.3"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s="102" cm="1">
        <f t="array" ref="AQ32">ROUND(PQ2nits((20*$AO32)/(2055+31*65)),3)</f>
        <v>0.70199999999999996</v>
      </c>
    </row>
    <row r="33" spans="40:43" x14ac:dyDescent="0.3"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s="102" cm="1">
        <f t="array" ref="AQ33">ROUND(PQ2nits((20*$AO33)/(2055+31*65)),3)</f>
        <v>0.77900000000000003</v>
      </c>
    </row>
    <row r="34" spans="40:43" x14ac:dyDescent="0.3"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s="102" cm="1">
        <f t="array" ref="AQ34">ROUND(PQ2nits((20*$AO34)/(2055+31*65)),3)</f>
        <v>0.86199999999999999</v>
      </c>
    </row>
    <row r="35" spans="40:43" x14ac:dyDescent="0.3"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s="102" cm="1">
        <f t="array" ref="AQ35">ROUND(PQ2nits((20*$AO35)/(2055+31*65)),3)</f>
        <v>0.95099999999999996</v>
      </c>
    </row>
    <row r="36" spans="40:43" x14ac:dyDescent="0.3"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s="102" cm="1">
        <f t="array" ref="AQ36">ROUND(PQ2nits((20*$AO36)/(2055+31*65)),3)</f>
        <v>1.048</v>
      </c>
    </row>
    <row r="40" spans="40:43" x14ac:dyDescent="0.3">
      <c r="AP40" s="63"/>
      <c r="AQ40" s="63"/>
    </row>
    <row r="41" spans="40:43" x14ac:dyDescent="0.3">
      <c r="AP41" s="63"/>
      <c r="AQ41" s="63"/>
    </row>
    <row r="42" spans="40:43" x14ac:dyDescent="0.3">
      <c r="AP42" s="63"/>
      <c r="AQ42" s="63"/>
    </row>
    <row r="43" spans="40:43" x14ac:dyDescent="0.3">
      <c r="AP43" s="63"/>
      <c r="AQ43" s="63"/>
    </row>
    <row r="44" spans="40:43" x14ac:dyDescent="0.3">
      <c r="AP44" s="63"/>
      <c r="AQ44" s="63"/>
    </row>
    <row r="45" spans="40:43" x14ac:dyDescent="0.3">
      <c r="AP45" s="63"/>
      <c r="AQ45" s="63"/>
    </row>
    <row r="46" spans="40:43" x14ac:dyDescent="0.3">
      <c r="AP46" s="63"/>
      <c r="AQ46" s="63"/>
    </row>
    <row r="47" spans="40:43" x14ac:dyDescent="0.3">
      <c r="AP47" s="63"/>
      <c r="AQ47" s="63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5" priority="4">
      <formula>$E$7="Not Supported"</formula>
    </cfRule>
  </conditionalFormatting>
  <conditionalFormatting sqref="N7">
    <cfRule type="expression" dxfId="34" priority="3">
      <formula>$P$7="Supported"</formula>
    </cfRule>
  </conditionalFormatting>
  <conditionalFormatting sqref="P7">
    <cfRule type="expression" dxfId="33" priority="2">
      <formula>$N$7="Supported"</formula>
    </cfRule>
  </conditionalFormatting>
  <conditionalFormatting sqref="N7 P7">
    <cfRule type="expression" dxfId="32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7DD70907-19DB-4709-BDD5-CF855966FAC3}">
      <formula1>$AN$5:$AN$36</formula1>
    </dataValidation>
    <dataValidation type="list" allowBlank="1" showInputMessage="1" showErrorMessage="1" sqref="I7" xr:uid="{3F8E479C-705D-4193-9D8C-1C95BD13E98A}">
      <formula1>$AR$5:$AR$9</formula1>
    </dataValidation>
    <dataValidation type="list" allowBlank="1" showInputMessage="1" showErrorMessage="1" sqref="I3" xr:uid="{E983231F-37E2-47BC-A910-63F6403DBA45}">
      <formula1>$AU$15:$AU$17</formula1>
    </dataValidation>
    <dataValidation type="list" allowBlank="1" showInputMessage="1" showErrorMessage="1" sqref="L7" xr:uid="{5016BA8E-61A1-46E7-BD12-5ABFC0B02E92}">
      <formula1>$AU$5:$AU$8</formula1>
    </dataValidation>
    <dataValidation type="list" allowBlank="1" showInputMessage="1" showErrorMessage="1" sqref="E7:F7 H7 N7 P7" xr:uid="{9628BB4E-CBE2-4806-9391-E83B2F4E7B99}">
      <formula1>"Supported, Not Supported"</formula1>
    </dataValidation>
    <dataValidation type="list" allowBlank="1" showInputMessage="1" showErrorMessage="1" sqref="G7" xr:uid="{E6250802-8448-4D86-A807-07D9BB50453C}">
      <formula1>$AQ$5:$AQ$36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586740</xdr:colOff>
                    <xdr:row>10</xdr:row>
                    <xdr:rowOff>106680</xdr:rowOff>
                  </from>
                  <to>
                    <xdr:col>13</xdr:col>
                    <xdr:colOff>350520</xdr:colOff>
                    <xdr:row>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891540</xdr:colOff>
                    <xdr:row>9</xdr:row>
                    <xdr:rowOff>7620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891540</xdr:colOff>
                    <xdr:row>10</xdr:row>
                    <xdr:rowOff>0</xdr:rowOff>
                  </from>
                  <to>
                    <xdr:col>2</xdr:col>
                    <xdr:colOff>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BFB4-B1F0-4D25-B4CE-D647A40193AC}">
  <sheetPr codeName="Sheet5"/>
  <dimension ref="B2:BC54"/>
  <sheetViews>
    <sheetView zoomScale="90" zoomScaleNormal="90" workbookViewId="0">
      <selection activeCell="L27" sqref="L27"/>
    </sheetView>
  </sheetViews>
  <sheetFormatPr defaultRowHeight="14.4" x14ac:dyDescent="0.3"/>
  <cols>
    <col min="2" max="2" width="14.44140625" customWidth="1"/>
    <col min="3" max="3" width="7.44140625" customWidth="1"/>
    <col min="4" max="4" width="11" customWidth="1"/>
    <col min="5" max="5" width="12.77734375" customWidth="1"/>
    <col min="6" max="6" width="15.33203125" customWidth="1"/>
    <col min="7" max="7" width="8.88671875" customWidth="1"/>
    <col min="8" max="8" width="10.6640625" customWidth="1"/>
    <col min="9" max="9" width="10" customWidth="1"/>
    <col min="10" max="10" width="12.6640625" customWidth="1"/>
    <col min="11" max="11" width="9.21875" customWidth="1"/>
    <col min="12" max="12" width="16.21875" customWidth="1"/>
    <col min="13" max="13" width="10" customWidth="1"/>
    <col min="14" max="14" width="13.21875" customWidth="1"/>
    <col min="15" max="15" width="8.44140625" customWidth="1"/>
    <col min="16" max="16" width="12.88671875" customWidth="1"/>
    <col min="17" max="20" width="7.44140625" customWidth="1"/>
    <col min="21" max="21" width="12.5546875" customWidth="1"/>
    <col min="22" max="22" width="7.44140625" customWidth="1"/>
    <col min="23" max="38" width="4.33203125" customWidth="1"/>
    <col min="47" max="47" width="24.5546875" customWidth="1"/>
  </cols>
  <sheetData>
    <row r="2" spans="2:54" ht="15" thickBot="1" x14ac:dyDescent="0.35"/>
    <row r="3" spans="2:54" ht="15" thickBot="1" x14ac:dyDescent="0.35">
      <c r="H3" s="35" t="s">
        <v>31</v>
      </c>
      <c r="I3" s="37" t="s">
        <v>43</v>
      </c>
      <c r="W3" s="65" t="s">
        <v>163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61" t="s">
        <v>66</v>
      </c>
      <c r="C5" s="106" t="str">
        <f>DEC2HEX(_xlfn.BITLSHIFT(BIN2DEC(C8),5)+_xlfn.BITLSHIFT(BIN2DEC(D8),2)+_xlfn.BITLSHIFT(BIN2DEC(E8),1)+BIN2DEC(F8))</f>
        <v>45</v>
      </c>
      <c r="D5" s="106"/>
      <c r="E5" s="106"/>
      <c r="F5" s="107"/>
      <c r="G5" s="108" t="str">
        <f>DEC2HEX(_xlfn.BITLSHIFT(BIN2DEC(G8),3)+_xlfn.BITLSHIFT(BIN2DEC(H8),2)+BIN2DEC(I8),2)</f>
        <v>03</v>
      </c>
      <c r="H5" s="104"/>
      <c r="I5" s="105"/>
      <c r="J5" s="108" t="str">
        <f>DEC2HEX(_xlfn.BITLSHIFT(BIN2DEC(J8),3)+_xlfn.BITLSHIFT(BIN2DEC(K8),1)+BIN2DEC(L8),2)</f>
        <v>58</v>
      </c>
      <c r="K5" s="104"/>
      <c r="L5" s="105"/>
      <c r="M5" s="104" t="str">
        <f>BIN2HEX(_xlfn.CONCAT(M8,N8),2)</f>
        <v>56</v>
      </c>
      <c r="N5" s="105"/>
      <c r="O5" s="104" t="str">
        <f>BIN2HEX(_xlfn.CONCAT(O8,P8),2)</f>
        <v>98</v>
      </c>
      <c r="P5" s="105"/>
      <c r="Q5" s="104" t="str">
        <f>BIN2HEX(_xlfn.CONCAT(Q8,R8),2)</f>
        <v>A9</v>
      </c>
      <c r="R5" s="105"/>
      <c r="S5" s="104" t="str">
        <f>BIN2HEX(_xlfn.CONCAT(S8,T8),2)</f>
        <v>53</v>
      </c>
      <c r="T5" s="105"/>
      <c r="W5" s="84">
        <v>0</v>
      </c>
      <c r="X5" s="85">
        <v>1</v>
      </c>
      <c r="Y5" s="85">
        <v>2</v>
      </c>
      <c r="Z5" s="85">
        <v>3</v>
      </c>
      <c r="AA5" s="85">
        <v>4</v>
      </c>
      <c r="AB5" s="85">
        <v>5</v>
      </c>
      <c r="AC5" s="85">
        <v>6</v>
      </c>
      <c r="AD5" s="85">
        <v>7</v>
      </c>
      <c r="AE5" s="85">
        <v>8</v>
      </c>
      <c r="AF5" s="85">
        <v>9</v>
      </c>
      <c r="AG5" s="85">
        <v>10</v>
      </c>
      <c r="AH5" s="85">
        <v>11</v>
      </c>
      <c r="AI5" s="85">
        <v>12</v>
      </c>
      <c r="AJ5" s="85">
        <v>13</v>
      </c>
      <c r="AK5" s="85">
        <v>14</v>
      </c>
      <c r="AL5" s="86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s="102" cm="1">
        <f t="array" ref="AQ5">ROUND(PQ2nits((20*$AO5)/(2055+31*65)),3)</f>
        <v>0</v>
      </c>
      <c r="AR5" s="12" t="s">
        <v>22</v>
      </c>
      <c r="AS5" s="11" t="s">
        <v>7</v>
      </c>
      <c r="AU5" s="13" t="s">
        <v>35</v>
      </c>
      <c r="AV5" s="6" t="s">
        <v>7</v>
      </c>
    </row>
    <row r="6" spans="2:54" ht="30.75" customHeight="1" x14ac:dyDescent="0.3">
      <c r="B6" s="60" t="s">
        <v>67</v>
      </c>
      <c r="C6" s="56" t="s">
        <v>10</v>
      </c>
      <c r="D6" s="30" t="s">
        <v>12</v>
      </c>
      <c r="E6" s="31" t="s">
        <v>17</v>
      </c>
      <c r="F6" s="32" t="s">
        <v>8</v>
      </c>
      <c r="G6" s="33" t="s">
        <v>60</v>
      </c>
      <c r="H6" s="31" t="s">
        <v>40</v>
      </c>
      <c r="I6" s="34" t="s">
        <v>59</v>
      </c>
      <c r="J6" s="33" t="s">
        <v>61</v>
      </c>
      <c r="K6" s="30" t="s">
        <v>11</v>
      </c>
      <c r="L6" s="32" t="s">
        <v>37</v>
      </c>
      <c r="M6" s="30" t="s">
        <v>58</v>
      </c>
      <c r="N6" s="32" t="s">
        <v>24</v>
      </c>
      <c r="O6" s="30" t="s">
        <v>57</v>
      </c>
      <c r="P6" s="32" t="s">
        <v>23</v>
      </c>
      <c r="Q6" s="30" t="s">
        <v>56</v>
      </c>
      <c r="R6" s="32" t="s">
        <v>14</v>
      </c>
      <c r="S6" s="30" t="s">
        <v>55</v>
      </c>
      <c r="T6" s="32" t="s">
        <v>13</v>
      </c>
      <c r="V6" s="65" t="s">
        <v>68</v>
      </c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s="102" cm="1">
        <f t="array" ref="AQ6">ROUND(PQ2nits((20*$AO6)/(2055+31*65)),3)</f>
        <v>1E-3</v>
      </c>
      <c r="AR6" s="12" t="s">
        <v>21</v>
      </c>
      <c r="AS6" s="11" t="s">
        <v>6</v>
      </c>
      <c r="AU6" s="13" t="s">
        <v>36</v>
      </c>
      <c r="AV6" s="6" t="s">
        <v>6</v>
      </c>
    </row>
    <row r="7" spans="2:54" x14ac:dyDescent="0.3">
      <c r="B7" s="59"/>
      <c r="C7" s="57">
        <v>2</v>
      </c>
      <c r="D7" s="10" t="s">
        <v>20</v>
      </c>
      <c r="E7" s="14" t="s">
        <v>19</v>
      </c>
      <c r="F7" s="14" t="s">
        <v>18</v>
      </c>
      <c r="G7" s="103">
        <v>0</v>
      </c>
      <c r="H7" s="14" t="s">
        <v>19</v>
      </c>
      <c r="I7" s="15" t="s">
        <v>27</v>
      </c>
      <c r="J7" s="26">
        <v>518</v>
      </c>
      <c r="K7" s="27">
        <v>0</v>
      </c>
      <c r="L7" s="16" t="s">
        <v>35</v>
      </c>
      <c r="M7" s="23">
        <f>INDEX(AX15:AX17,MATCH(I3,AU15:AU17,0))</f>
        <v>0.17</v>
      </c>
      <c r="N7" s="36" t="s">
        <v>19</v>
      </c>
      <c r="O7" s="24">
        <f>INDEX(AY15:AY17,MATCH($I$3,$AU$15:$AU$17,0))</f>
        <v>0.79700000000000004</v>
      </c>
      <c r="P7" s="36" t="s">
        <v>19</v>
      </c>
      <c r="Q7" s="24">
        <f>INDEX(AV15:AV17,MATCH($I$3,$AU$15:$AU$17,0))</f>
        <v>0.70799999999999996</v>
      </c>
      <c r="R7" s="25">
        <f>INDEX(AZ15:AZ17,MATCH($I$3,$AU$15:$AU$17,0))</f>
        <v>0.13100000000000001</v>
      </c>
      <c r="S7" s="23">
        <f>INDEX(AW15:AW17,MATCH($I$3,$AU$15:$AU$17,0))</f>
        <v>0.29199999999999998</v>
      </c>
      <c r="T7" s="25">
        <f>INDEX(BA15:BA17,MATCH($I$3,$AU$15:$AU$17,0))</f>
        <v>4.5999999999999999E-2</v>
      </c>
      <c r="V7" s="63"/>
      <c r="W7" s="63" t="s">
        <v>7</v>
      </c>
      <c r="X7" s="63" t="s">
        <v>127</v>
      </c>
      <c r="Y7" s="63" t="s">
        <v>127</v>
      </c>
      <c r="Z7" s="63" t="s">
        <v>127</v>
      </c>
      <c r="AA7" s="63" t="s">
        <v>127</v>
      </c>
      <c r="AB7" s="63" t="s">
        <v>127</v>
      </c>
      <c r="AC7" s="63" t="s">
        <v>127</v>
      </c>
      <c r="AD7" s="63" t="s">
        <v>7</v>
      </c>
      <c r="AE7" s="63" t="s">
        <v>135</v>
      </c>
      <c r="AF7" s="63" t="s">
        <v>129</v>
      </c>
      <c r="AG7" s="63" t="s">
        <v>88</v>
      </c>
      <c r="AH7" s="63" t="s">
        <v>182</v>
      </c>
      <c r="AI7" s="63" t="s">
        <v>6</v>
      </c>
      <c r="AJ7" s="63" t="s">
        <v>6</v>
      </c>
      <c r="AK7" s="63" t="s">
        <v>6</v>
      </c>
      <c r="AL7" s="63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s="102" cm="1">
        <f t="array" ref="AQ7">ROUND(PQ2nits((20*$AO7)/(2055+31*65)),3)</f>
        <v>2E-3</v>
      </c>
      <c r="AR7" s="12" t="s">
        <v>26</v>
      </c>
      <c r="AS7" s="11" t="s">
        <v>28</v>
      </c>
      <c r="AU7" s="13" t="s">
        <v>38</v>
      </c>
      <c r="AV7" s="6" t="s">
        <v>28</v>
      </c>
    </row>
    <row r="8" spans="2:54" s="7" customFormat="1" ht="15" thickBot="1" x14ac:dyDescent="0.35">
      <c r="B8" s="62"/>
      <c r="C8" s="58" t="s">
        <v>15</v>
      </c>
      <c r="D8" s="17" t="s">
        <v>16</v>
      </c>
      <c r="E8" s="18">
        <f>IF(EXACT(E7,"Supported"),1,0)</f>
        <v>0</v>
      </c>
      <c r="F8" s="18">
        <f>IF(EXACT(F7,"Supported"),1,0)</f>
        <v>1</v>
      </c>
      <c r="G8" s="20" t="str">
        <f>DEC2BIN(_xlfn.XLOOKUP(G7,AQ5:AQ36,AO5:AO36),5)</f>
        <v>00000</v>
      </c>
      <c r="H8" s="18">
        <f>IF(EXACT(H7,"Supported"),1,0)</f>
        <v>0</v>
      </c>
      <c r="I8" s="19" t="str">
        <f>IF(EXACT(E7,"Not Supported"),"11",INDEX(AS5:AS8,MATCH(I7,AR5:AR8,0)))</f>
        <v>11</v>
      </c>
      <c r="J8" s="20" t="str">
        <f>DEC2BIN(VLOOKUP(J7,AN5:AO36,2),5)</f>
        <v>01011</v>
      </c>
      <c r="K8" s="28">
        <v>0</v>
      </c>
      <c r="L8" s="19" t="str">
        <f>VLOOKUP(L7,AU5:AV8,2)</f>
        <v>00</v>
      </c>
      <c r="M8" s="29" t="str">
        <f>DEC2BIN(M7/( 0.49609375/127),7)</f>
        <v>0101011</v>
      </c>
      <c r="N8" s="21">
        <f>IF(AND(EXACT(N7,"Supported"),EXACT(P7,"Not Supported")),1,0)</f>
        <v>0</v>
      </c>
      <c r="O8" s="29" t="str">
        <f>DEC2BIN((O7-0.5)/((0.99609375-0.5)/127),7)</f>
        <v>1001100</v>
      </c>
      <c r="P8" s="21">
        <f>IF(AND(EXACT(P7,"Supported"),EXACT(N7,"Not Supported")),1,0)</f>
        <v>0</v>
      </c>
      <c r="Q8" s="20" t="str">
        <f>DEC2BIN((Q7-0.625)/((0.74609375-0.625)/31),5)</f>
        <v>10101</v>
      </c>
      <c r="R8" s="19" t="str">
        <f>DEC2BIN((R7-0.125)/((0.15234375-0.125)/7),3)</f>
        <v>001</v>
      </c>
      <c r="S8" s="20" t="str">
        <f>DEC2BIN((S7-0.25)/((0.37109375-0.25)/31),5)</f>
        <v>01010</v>
      </c>
      <c r="T8" s="19" t="str">
        <f>DEC2BIN((T7-0.03125)/((0.05859375-0.03125)/7),3)</f>
        <v>011</v>
      </c>
      <c r="V8" s="63"/>
      <c r="W8" s="63" t="s">
        <v>189</v>
      </c>
      <c r="X8" s="63" t="s">
        <v>183</v>
      </c>
      <c r="Y8" s="63" t="s">
        <v>6</v>
      </c>
      <c r="Z8" s="63" t="s">
        <v>89</v>
      </c>
      <c r="AA8" s="63" t="s">
        <v>112</v>
      </c>
      <c r="AB8" s="63" t="s">
        <v>7</v>
      </c>
      <c r="AC8" s="63" t="s">
        <v>7</v>
      </c>
      <c r="AD8" s="63" t="s">
        <v>113</v>
      </c>
      <c r="AE8" s="63" t="s">
        <v>184</v>
      </c>
      <c r="AF8" s="63" t="s">
        <v>185</v>
      </c>
      <c r="AG8" s="63" t="s">
        <v>106</v>
      </c>
      <c r="AH8" s="63" t="s">
        <v>129</v>
      </c>
      <c r="AI8" s="63" t="s">
        <v>191</v>
      </c>
      <c r="AJ8" s="63" t="s">
        <v>135</v>
      </c>
      <c r="AK8" s="63" t="s">
        <v>192</v>
      </c>
      <c r="AL8" s="63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s="102" cm="1">
        <f t="array" ref="AQ8">ROUND(PQ2nits((20*$AO8)/(2055+31*65)),3)</f>
        <v>5.0000000000000001E-3</v>
      </c>
      <c r="AR8" s="11" t="s">
        <v>27</v>
      </c>
      <c r="AS8" s="11" t="s">
        <v>29</v>
      </c>
      <c r="AU8" s="13" t="s">
        <v>39</v>
      </c>
      <c r="AV8" s="8" t="s">
        <v>29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3"/>
      <c r="W9" s="63" t="s">
        <v>74</v>
      </c>
      <c r="X9" s="63" t="s">
        <v>106</v>
      </c>
      <c r="Y9" s="63" t="s">
        <v>191</v>
      </c>
      <c r="Z9" s="63" t="s">
        <v>102</v>
      </c>
      <c r="AA9" s="63" t="s">
        <v>7</v>
      </c>
      <c r="AB9" s="63" t="s">
        <v>7</v>
      </c>
      <c r="AC9" s="63" t="s">
        <v>6</v>
      </c>
      <c r="AD9" s="63" t="s">
        <v>6</v>
      </c>
      <c r="AE9" s="63" t="s">
        <v>6</v>
      </c>
      <c r="AF9" s="63" t="s">
        <v>6</v>
      </c>
      <c r="AG9" s="63" t="s">
        <v>6</v>
      </c>
      <c r="AH9" s="63" t="s">
        <v>6</v>
      </c>
      <c r="AI9" s="63" t="s">
        <v>6</v>
      </c>
      <c r="AJ9" s="63" t="s">
        <v>6</v>
      </c>
      <c r="AK9" s="63" t="s">
        <v>6</v>
      </c>
      <c r="AL9" s="63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s="102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9" t="s">
        <v>63</v>
      </c>
      <c r="C10" s="40" t="s">
        <v>292</v>
      </c>
      <c r="D10" s="41"/>
      <c r="E10" s="41"/>
      <c r="F10" s="41"/>
      <c r="G10" s="41"/>
      <c r="H10" s="41"/>
      <c r="I10" s="41"/>
      <c r="J10" s="42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3"/>
      <c r="W10" s="63" t="s">
        <v>6</v>
      </c>
      <c r="X10" s="63" t="s">
        <v>6</v>
      </c>
      <c r="Y10" s="63" t="s">
        <v>6</v>
      </c>
      <c r="Z10" s="63" t="s">
        <v>6</v>
      </c>
      <c r="AA10" s="63" t="s">
        <v>6</v>
      </c>
      <c r="AB10" s="63" t="s">
        <v>6</v>
      </c>
      <c r="AC10" s="63" t="s">
        <v>95</v>
      </c>
      <c r="AD10" s="63" t="s">
        <v>134</v>
      </c>
      <c r="AE10" s="63" t="s">
        <v>7</v>
      </c>
      <c r="AF10" s="63" t="s">
        <v>145</v>
      </c>
      <c r="AG10" s="63" t="s">
        <v>71</v>
      </c>
      <c r="AH10" s="63" t="s">
        <v>146</v>
      </c>
      <c r="AI10" s="63" t="s">
        <v>147</v>
      </c>
      <c r="AJ10" s="63" t="s">
        <v>112</v>
      </c>
      <c r="AK10" s="63" t="s">
        <v>136</v>
      </c>
      <c r="AL10" s="63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s="102" cm="1">
        <f t="array" ref="AQ10">ROUND(PQ2nits((20*$AO10)/(2055+31*65)),3)</f>
        <v>1.2999999999999999E-2</v>
      </c>
      <c r="AR10" s="5"/>
    </row>
    <row r="11" spans="2:54" ht="15" thickBot="1" x14ac:dyDescent="0.35">
      <c r="B11" s="50" t="s">
        <v>64</v>
      </c>
      <c r="C11" s="38" t="s">
        <v>293</v>
      </c>
      <c r="D11" s="9"/>
      <c r="E11" s="9"/>
      <c r="F11" s="9"/>
      <c r="G11" s="9"/>
      <c r="H11" s="9"/>
      <c r="I11" s="9"/>
      <c r="J11" s="43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3"/>
      <c r="W11" s="63" t="s">
        <v>119</v>
      </c>
      <c r="X11" s="63" t="s">
        <v>7</v>
      </c>
      <c r="Y11" s="63" t="s">
        <v>104</v>
      </c>
      <c r="Z11" s="63" t="s">
        <v>193</v>
      </c>
      <c r="AA11" s="63" t="s">
        <v>194</v>
      </c>
      <c r="AB11" s="63" t="s">
        <v>7</v>
      </c>
      <c r="AC11" s="63" t="s">
        <v>7</v>
      </c>
      <c r="AD11" s="63" t="s">
        <v>77</v>
      </c>
      <c r="AE11" s="63" t="s">
        <v>88</v>
      </c>
      <c r="AF11" s="63" t="s">
        <v>150</v>
      </c>
      <c r="AG11" s="63" t="s">
        <v>112</v>
      </c>
      <c r="AH11" s="63" t="s">
        <v>126</v>
      </c>
      <c r="AI11" s="63" t="s">
        <v>151</v>
      </c>
      <c r="AJ11" s="63" t="s">
        <v>111</v>
      </c>
      <c r="AK11" s="63" t="s">
        <v>121</v>
      </c>
      <c r="AL11" s="63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s="102" cm="1">
        <f t="array" ref="AQ11">ROUND(PQ2nits((20*$AO11)/(2055+31*65)),3)</f>
        <v>1.9E-2</v>
      </c>
      <c r="AR11" s="5"/>
    </row>
    <row r="12" spans="2:54" x14ac:dyDescent="0.3">
      <c r="B12" s="53" t="s">
        <v>0</v>
      </c>
      <c r="C12" s="54" t="str">
        <f>_xlfn.CONCAT(B5:T5)</f>
        <v>EB0146D0004503585698A953</v>
      </c>
      <c r="D12" s="54"/>
      <c r="E12" s="54"/>
      <c r="F12" s="54"/>
      <c r="G12" s="54"/>
      <c r="H12" s="54"/>
      <c r="I12" s="54"/>
      <c r="J12" s="55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3"/>
      <c r="W12" s="63" t="s">
        <v>148</v>
      </c>
      <c r="X12" s="63" t="s">
        <v>152</v>
      </c>
      <c r="Y12" s="63" t="s">
        <v>142</v>
      </c>
      <c r="Z12" s="63" t="s">
        <v>7</v>
      </c>
      <c r="AA12" s="63" t="s">
        <v>104</v>
      </c>
      <c r="AB12" s="63" t="s">
        <v>193</v>
      </c>
      <c r="AC12" s="63" t="s">
        <v>194</v>
      </c>
      <c r="AD12" s="63" t="s">
        <v>7</v>
      </c>
      <c r="AE12" s="63" t="s">
        <v>7</v>
      </c>
      <c r="AF12" s="63" t="s">
        <v>77</v>
      </c>
      <c r="AG12" s="63" t="s">
        <v>7</v>
      </c>
      <c r="AH12" s="63" t="s">
        <v>7</v>
      </c>
      <c r="AI12" s="63" t="s">
        <v>7</v>
      </c>
      <c r="AJ12" s="63" t="s">
        <v>158</v>
      </c>
      <c r="AK12" s="63" t="s">
        <v>7</v>
      </c>
      <c r="AL12" s="63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s="102" cm="1">
        <f t="array" ref="AQ12">ROUND(PQ2nits((20*$AO12)/(2055+31*65)),3)</f>
        <v>2.5999999999999999E-2</v>
      </c>
    </row>
    <row r="13" spans="2:54" x14ac:dyDescent="0.3">
      <c r="B13" s="51" t="s">
        <v>62</v>
      </c>
      <c r="C13" s="45" t="str" cm="1">
        <f t="array" ref="C13">EDIDCheckSum(C12)</f>
        <v>4E</v>
      </c>
      <c r="D13" s="39"/>
      <c r="E13" s="39"/>
      <c r="F13" s="39"/>
      <c r="G13" s="39"/>
      <c r="H13" s="39"/>
      <c r="I13" s="39"/>
      <c r="J13" s="44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3"/>
      <c r="W13" s="63" t="s">
        <v>190</v>
      </c>
      <c r="X13" s="63" t="s">
        <v>74</v>
      </c>
      <c r="Y13" s="63" t="s">
        <v>160</v>
      </c>
      <c r="Z13" s="63" t="s">
        <v>77</v>
      </c>
      <c r="AA13" s="63" t="s">
        <v>7</v>
      </c>
      <c r="AB13" s="63" t="s">
        <v>117</v>
      </c>
      <c r="AC13" s="63" t="s">
        <v>102</v>
      </c>
      <c r="AD13" s="63" t="s">
        <v>102</v>
      </c>
      <c r="AE13" s="63" t="s">
        <v>102</v>
      </c>
      <c r="AF13" s="63" t="s">
        <v>102</v>
      </c>
      <c r="AG13" s="63" t="s">
        <v>102</v>
      </c>
      <c r="AH13" s="63" t="s">
        <v>102</v>
      </c>
      <c r="AI13" s="63" t="s">
        <v>7</v>
      </c>
      <c r="AJ13" s="63" t="s">
        <v>7</v>
      </c>
      <c r="AK13" s="63" t="s">
        <v>7</v>
      </c>
      <c r="AL13" s="63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s="102" cm="1">
        <f t="array" ref="AQ13">ROUND(PQ2nits((20*$AO13)/(2055+31*65)),3)</f>
        <v>3.5000000000000003E-2</v>
      </c>
    </row>
    <row r="14" spans="2:54" x14ac:dyDescent="0.3">
      <c r="B14" s="52" t="s">
        <v>164</v>
      </c>
      <c r="C14" s="91" t="str">
        <f>_xlfn.CONCAT(":1073D0000086",_xlfn.CONCAT(W7:AJ7))</f>
        <v>:1073D000008600ffffffffffff004ca302a80101</v>
      </c>
      <c r="D14" s="39"/>
      <c r="E14" s="39"/>
      <c r="F14" s="39"/>
      <c r="G14" s="39" t="str" cm="1">
        <f t="array" ref="G14">IntelHexChecksum(RIGHT(C14,40))</f>
        <v>92</v>
      </c>
      <c r="H14" s="39"/>
      <c r="I14" s="39"/>
      <c r="J14" s="44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3"/>
      <c r="W14" s="63" t="s">
        <v>7</v>
      </c>
      <c r="X14" s="63" t="s">
        <v>142</v>
      </c>
      <c r="Y14" s="63" t="s">
        <v>106</v>
      </c>
      <c r="Z14" s="63" t="s">
        <v>90</v>
      </c>
      <c r="AA14" s="63" t="s">
        <v>156</v>
      </c>
      <c r="AB14" s="63" t="s">
        <v>186</v>
      </c>
      <c r="AC14" s="63" t="s">
        <v>102</v>
      </c>
      <c r="AD14" s="63" t="s">
        <v>106</v>
      </c>
      <c r="AE14" s="63" t="s">
        <v>187</v>
      </c>
      <c r="AF14" s="63" t="s">
        <v>117</v>
      </c>
      <c r="AG14" s="63" t="s">
        <v>102</v>
      </c>
      <c r="AH14" s="63" t="s">
        <v>102</v>
      </c>
      <c r="AI14" s="63" t="s">
        <v>102</v>
      </c>
      <c r="AJ14" s="63" t="s">
        <v>102</v>
      </c>
      <c r="AK14" s="63" t="s">
        <v>6</v>
      </c>
      <c r="AL14" s="63" t="s">
        <v>188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s="102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52" t="s">
        <v>165</v>
      </c>
      <c r="C15" s="91" t="str">
        <f>_xlfn.CONCAT(":10",RIGHT(B15,4),"00",AK7:AL7,W8:AJ8)</f>
        <v>:1073E0000101261a0103800000780ede50a3544c</v>
      </c>
      <c r="D15" s="39"/>
      <c r="E15" s="39"/>
      <c r="F15" s="39"/>
      <c r="G15" s="39" t="str" cm="1">
        <f t="array" ref="G15">IntelHexChecksum(RIGHT(C15,40))</f>
        <v>E0</v>
      </c>
      <c r="H15" s="39"/>
      <c r="I15" s="39"/>
      <c r="J15" s="44"/>
      <c r="V15" s="65" t="s">
        <v>69</v>
      </c>
      <c r="W15" s="63" t="s">
        <v>88</v>
      </c>
      <c r="X15" s="63" t="s">
        <v>89</v>
      </c>
      <c r="Y15" s="96" t="s">
        <v>241</v>
      </c>
      <c r="Z15" s="63" t="s">
        <v>239</v>
      </c>
      <c r="AA15" s="63" t="s">
        <v>195</v>
      </c>
      <c r="AB15" s="63" t="s">
        <v>196</v>
      </c>
      <c r="AC15" s="63" t="s">
        <v>72</v>
      </c>
      <c r="AD15" s="63" t="s">
        <v>102</v>
      </c>
      <c r="AE15" s="63" t="s">
        <v>103</v>
      </c>
      <c r="AF15" s="63" t="s">
        <v>96</v>
      </c>
      <c r="AG15" s="63" t="s">
        <v>100</v>
      </c>
      <c r="AH15" s="63" t="s">
        <v>95</v>
      </c>
      <c r="AI15" s="63" t="s">
        <v>99</v>
      </c>
      <c r="AJ15" s="63" t="s">
        <v>89</v>
      </c>
      <c r="AK15" s="63" t="s">
        <v>88</v>
      </c>
      <c r="AL15" s="63" t="s">
        <v>98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s="102" cm="1">
        <f t="array" ref="AQ15">ROUND(PQ2nits((20*$AO15)/(2055+31*65)),3)</f>
        <v>5.8000000000000003E-2</v>
      </c>
      <c r="AU15" s="6" t="s">
        <v>42</v>
      </c>
      <c r="AV15" s="22">
        <v>0.64</v>
      </c>
      <c r="AW15" s="22">
        <v>0.33</v>
      </c>
      <c r="AX15" s="22">
        <v>0.3</v>
      </c>
      <c r="AY15" s="22">
        <v>0.6</v>
      </c>
      <c r="AZ15" s="22">
        <v>0.15</v>
      </c>
      <c r="BA15" s="22">
        <v>0.06</v>
      </c>
      <c r="BB15" t="s">
        <v>53</v>
      </c>
    </row>
    <row r="16" spans="2:54" x14ac:dyDescent="0.3">
      <c r="B16" s="52" t="s">
        <v>166</v>
      </c>
      <c r="C16" s="91" t="str">
        <f t="shared" ref="C16:C29" si="2">_xlfn.CONCAT(":10",RIGHT(B16,4),"00",AK8:AL8,W9:AJ9)</f>
        <v>:1073F00099260f50542000000101010101010101</v>
      </c>
      <c r="D16" s="39"/>
      <c r="E16" s="39"/>
      <c r="F16" s="39"/>
      <c r="G16" s="39" t="str" cm="1">
        <f t="array" ref="G16">IntelHexChecksum(RIGHT(C16,40))</f>
        <v>F3</v>
      </c>
      <c r="H16" s="39"/>
      <c r="I16" s="39"/>
      <c r="J16" s="44"/>
      <c r="V16" s="63"/>
      <c r="W16" s="63" t="s">
        <v>29</v>
      </c>
      <c r="X16" s="63" t="s">
        <v>97</v>
      </c>
      <c r="Y16" s="63" t="s">
        <v>114</v>
      </c>
      <c r="Z16" s="63" t="s">
        <v>101</v>
      </c>
      <c r="AA16" s="63" t="s">
        <v>107</v>
      </c>
      <c r="AB16" s="63" t="s">
        <v>78</v>
      </c>
      <c r="AC16" s="63" t="s">
        <v>197</v>
      </c>
      <c r="AD16" s="63" t="s">
        <v>70</v>
      </c>
      <c r="AE16" s="63" t="s">
        <v>198</v>
      </c>
      <c r="AF16" s="63" t="s">
        <v>6</v>
      </c>
      <c r="AG16" s="63" t="s">
        <v>74</v>
      </c>
      <c r="AH16" s="63" t="s">
        <v>184</v>
      </c>
      <c r="AI16" s="63" t="s">
        <v>77</v>
      </c>
      <c r="AJ16" s="63" t="s">
        <v>149</v>
      </c>
      <c r="AK16" s="63" t="s">
        <v>199</v>
      </c>
      <c r="AL16" s="63" t="s">
        <v>89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s="102" cm="1">
        <f t="array" ref="AQ16">ROUND(PQ2nits((20*$AO16)/(2055+31*65)),3)</f>
        <v>7.1999999999999995E-2</v>
      </c>
      <c r="AU16" s="6" t="s">
        <v>43</v>
      </c>
      <c r="AV16" s="22">
        <v>0.70799999999999996</v>
      </c>
      <c r="AW16" s="22">
        <v>0.29199999999999998</v>
      </c>
      <c r="AX16" s="22">
        <v>0.17</v>
      </c>
      <c r="AY16" s="22">
        <v>0.79700000000000004</v>
      </c>
      <c r="AZ16" s="22">
        <v>0.13100000000000001</v>
      </c>
      <c r="BA16" s="22">
        <v>4.5999999999999999E-2</v>
      </c>
      <c r="BB16" t="s">
        <v>51</v>
      </c>
    </row>
    <row r="17" spans="2:54" x14ac:dyDescent="0.3">
      <c r="B17" s="52" t="s">
        <v>167</v>
      </c>
      <c r="C17" s="91" t="str">
        <f t="shared" si="2"/>
        <v>:10740000010101010101010104740030f2705a80</v>
      </c>
      <c r="D17" s="39"/>
      <c r="E17" s="39"/>
      <c r="F17" s="39"/>
      <c r="G17" s="39" t="str" cm="1">
        <f t="array" ref="G17">IntelHexChecksum(RIGHT(C17,40))</f>
        <v>90</v>
      </c>
      <c r="H17" s="39"/>
      <c r="I17" s="39"/>
      <c r="J17" s="44"/>
      <c r="V17" s="63"/>
      <c r="W17" s="63" t="s">
        <v>83</v>
      </c>
      <c r="X17" s="63" t="s">
        <v>7</v>
      </c>
      <c r="Y17" s="63" t="s">
        <v>125</v>
      </c>
      <c r="Z17" s="63" t="s">
        <v>7</v>
      </c>
      <c r="AA17" s="63" t="s">
        <v>200</v>
      </c>
      <c r="AB17" s="63" t="s">
        <v>84</v>
      </c>
      <c r="AC17" s="63" t="s">
        <v>120</v>
      </c>
      <c r="AD17" s="63" t="s">
        <v>201</v>
      </c>
      <c r="AE17" s="63" t="s">
        <v>127</v>
      </c>
      <c r="AF17" s="63" t="s">
        <v>187</v>
      </c>
      <c r="AG17" s="63" t="s">
        <v>127</v>
      </c>
      <c r="AH17" s="63" t="s">
        <v>81</v>
      </c>
      <c r="AI17" s="63" t="s">
        <v>193</v>
      </c>
      <c r="AJ17" s="63" t="s">
        <v>6</v>
      </c>
      <c r="AK17" s="63" t="s">
        <v>88</v>
      </c>
      <c r="AL17" s="63" t="s">
        <v>89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s="102" cm="1">
        <f t="array" ref="AQ17">ROUND(PQ2nits((20*$AO17)/(2055+31*65)),3)</f>
        <v>8.7999999999999995E-2</v>
      </c>
      <c r="AU17" s="6" t="s">
        <v>44</v>
      </c>
      <c r="AV17" s="22">
        <v>0.68</v>
      </c>
      <c r="AW17" s="22">
        <v>0.32</v>
      </c>
      <c r="AX17" s="22">
        <v>0.26500000000000001</v>
      </c>
      <c r="AY17" s="22">
        <v>0.69</v>
      </c>
      <c r="AZ17" s="22">
        <v>0.15</v>
      </c>
      <c r="BA17" s="22">
        <v>0.06</v>
      </c>
      <c r="BB17" t="s">
        <v>52</v>
      </c>
    </row>
    <row r="18" spans="2:54" x14ac:dyDescent="0.3">
      <c r="B18" s="52" t="s">
        <v>168</v>
      </c>
      <c r="C18" s="91" t="str">
        <f t="shared" si="2"/>
        <v>:10741000b0588a0040846300001e023a80187138</v>
      </c>
      <c r="D18" s="39"/>
      <c r="E18" s="39"/>
      <c r="F18" s="39"/>
      <c r="G18" s="39" t="str" cm="1">
        <f t="array" ref="G18">IntelHexChecksum(RIGHT(C18,40))</f>
        <v>18</v>
      </c>
      <c r="H18" s="39"/>
      <c r="I18" s="39"/>
      <c r="J18" s="44"/>
      <c r="V18" s="63"/>
      <c r="W18" s="63" t="s">
        <v>95</v>
      </c>
      <c r="X18" s="63" t="s">
        <v>6</v>
      </c>
      <c r="Y18" s="63" t="s">
        <v>7</v>
      </c>
      <c r="Z18" s="63" t="s">
        <v>7</v>
      </c>
      <c r="AA18" s="63" t="s">
        <v>202</v>
      </c>
      <c r="AB18" s="63" t="s">
        <v>80</v>
      </c>
      <c r="AC18" s="63" t="s">
        <v>96</v>
      </c>
      <c r="AD18" s="63" t="s">
        <v>81</v>
      </c>
      <c r="AE18" s="63" t="s">
        <v>7</v>
      </c>
      <c r="AF18" s="63" t="s">
        <v>85</v>
      </c>
      <c r="AG18" s="63" t="s">
        <v>7</v>
      </c>
      <c r="AH18" s="63" t="s">
        <v>203</v>
      </c>
      <c r="AI18" s="63" t="s">
        <v>204</v>
      </c>
      <c r="AJ18" s="63" t="s">
        <v>184</v>
      </c>
      <c r="AK18" s="63" t="s">
        <v>92</v>
      </c>
      <c r="AL18" s="63" t="s">
        <v>91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s="102" cm="1">
        <f t="array" ref="AQ18">ROUND(PQ2nits((20*$AO18)/(2055+31*65)),3)</f>
        <v>0.106</v>
      </c>
    </row>
    <row r="19" spans="2:54" x14ac:dyDescent="0.3">
      <c r="B19" s="52" t="s">
        <v>169</v>
      </c>
      <c r="C19" s="91" t="str">
        <f t="shared" si="2"/>
        <v>:107420002d40582c450040846300001e000000fd</v>
      </c>
      <c r="D19" s="39"/>
      <c r="E19" s="39"/>
      <c r="F19" s="39"/>
      <c r="G19" s="39" t="str" cm="1">
        <f t="array" ref="G19">IntelHexChecksum(RIGHT(C19,40))</f>
        <v>E4</v>
      </c>
      <c r="H19" s="39"/>
      <c r="I19" s="39"/>
      <c r="J19" s="44"/>
      <c r="V19" s="63"/>
      <c r="W19" s="97" t="s">
        <v>93</v>
      </c>
      <c r="X19" s="97" t="s">
        <v>94</v>
      </c>
      <c r="Y19" s="97" t="s">
        <v>80</v>
      </c>
      <c r="Z19" s="97" t="s">
        <v>114</v>
      </c>
      <c r="AA19" s="97" t="s">
        <v>96</v>
      </c>
      <c r="AB19" s="97" t="s">
        <v>6</v>
      </c>
      <c r="AC19" s="96" t="s">
        <v>205</v>
      </c>
      <c r="AD19" s="96" t="s">
        <v>6</v>
      </c>
      <c r="AE19" s="96" t="s">
        <v>180</v>
      </c>
      <c r="AF19" s="96" t="s">
        <v>118</v>
      </c>
      <c r="AG19" s="96" t="s">
        <v>7</v>
      </c>
      <c r="AH19" s="98" t="str">
        <f>C5</f>
        <v>45</v>
      </c>
      <c r="AI19" s="98" t="str">
        <f>G5</f>
        <v>03</v>
      </c>
      <c r="AJ19" s="98" t="str">
        <f>J5</f>
        <v>58</v>
      </c>
      <c r="AK19" s="98" t="str">
        <f>M5</f>
        <v>56</v>
      </c>
      <c r="AL19" s="98" t="str">
        <f>O5</f>
        <v>98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s="102" cm="1">
        <f t="array" ref="AQ19">ROUND(PQ2nits((20*$AO19)/(2055+31*65)),3)</f>
        <v>0.127</v>
      </c>
    </row>
    <row r="20" spans="2:54" x14ac:dyDescent="0.3">
      <c r="B20" s="52" t="s">
        <v>170</v>
      </c>
      <c r="C20" s="91" t="str">
        <f t="shared" si="2"/>
        <v>:107430000018550f871e000a2020202020200000</v>
      </c>
      <c r="D20" s="39"/>
      <c r="E20" s="39"/>
      <c r="F20" s="39"/>
      <c r="G20" s="39" t="str" cm="1">
        <f t="array" ref="G20">IntelHexChecksum(RIGHT(C20,40))</f>
        <v>61</v>
      </c>
      <c r="H20" s="39"/>
      <c r="I20" s="39"/>
      <c r="J20" s="44"/>
      <c r="V20" s="63"/>
      <c r="W20" s="98" t="str">
        <f>Q5</f>
        <v>A9</v>
      </c>
      <c r="X20" s="98" t="str">
        <f>S5</f>
        <v>53</v>
      </c>
      <c r="Y20" s="97" t="s">
        <v>7</v>
      </c>
      <c r="Z20" s="97" t="s">
        <v>7</v>
      </c>
      <c r="AA20" s="97" t="s">
        <v>7</v>
      </c>
      <c r="AB20" s="97" t="s">
        <v>7</v>
      </c>
      <c r="AC20" s="97" t="s">
        <v>7</v>
      </c>
      <c r="AD20" s="97" t="s">
        <v>7</v>
      </c>
      <c r="AE20" s="97" t="s">
        <v>7</v>
      </c>
      <c r="AF20" s="97" t="s">
        <v>7</v>
      </c>
      <c r="AG20" s="97" t="s">
        <v>7</v>
      </c>
      <c r="AH20" s="97" t="s">
        <v>7</v>
      </c>
      <c r="AI20" s="97" t="s">
        <v>7</v>
      </c>
      <c r="AJ20" s="97" t="s">
        <v>7</v>
      </c>
      <c r="AK20" s="97" t="s">
        <v>7</v>
      </c>
      <c r="AL20" s="97" t="s">
        <v>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s="102" cm="1">
        <f t="array" ref="AQ20">ROUND(PQ2nits((20*$AO20)/(2055+31*65)),3)</f>
        <v>0.15</v>
      </c>
    </row>
    <row r="21" spans="2:54" x14ac:dyDescent="0.3">
      <c r="B21" s="52" t="s">
        <v>171</v>
      </c>
      <c r="C21" s="91" t="str">
        <f t="shared" si="2"/>
        <v>:1074400000fc004550534f4e20504a0a20202020</v>
      </c>
      <c r="D21" s="39"/>
      <c r="E21" s="39"/>
      <c r="F21" s="39"/>
      <c r="G21" s="39" t="str" cm="1">
        <f t="array" ref="G21">IntelHexChecksum(RIGHT(C21,40))</f>
        <v>77</v>
      </c>
      <c r="H21" s="39"/>
      <c r="I21" s="39"/>
      <c r="J21" s="44"/>
      <c r="V21" s="63"/>
      <c r="W21" s="63" t="s">
        <v>7</v>
      </c>
      <c r="X21" s="63" t="s">
        <v>7</v>
      </c>
      <c r="Y21" s="63" t="s">
        <v>7</v>
      </c>
      <c r="Z21" s="63" t="s">
        <v>7</v>
      </c>
      <c r="AA21" s="63" t="s">
        <v>7</v>
      </c>
      <c r="AB21" s="63" t="s">
        <v>7</v>
      </c>
      <c r="AC21" s="63" t="s">
        <v>7</v>
      </c>
      <c r="AD21" s="63" t="s">
        <v>7</v>
      </c>
      <c r="AE21" s="63" t="s">
        <v>7</v>
      </c>
      <c r="AF21" s="63" t="s">
        <v>7</v>
      </c>
      <c r="AG21" s="63" t="s">
        <v>7</v>
      </c>
      <c r="AH21" s="63" t="s">
        <v>7</v>
      </c>
      <c r="AI21" s="63" t="s">
        <v>7</v>
      </c>
      <c r="AJ21" s="63" t="s">
        <v>7</v>
      </c>
      <c r="AK21" s="63" t="s">
        <v>7</v>
      </c>
      <c r="AL21" s="63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s="102" cm="1">
        <f t="array" ref="AQ21">ROUND(PQ2nits((20*$AO21)/(2055+31*65)),3)</f>
        <v>0.17599999999999999</v>
      </c>
    </row>
    <row r="22" spans="2:54" x14ac:dyDescent="0.3">
      <c r="B22" s="52" t="s">
        <v>162</v>
      </c>
      <c r="C22" s="91" t="str">
        <f t="shared" si="2"/>
        <v>:1074500001ab020352b259901f20220514041303</v>
      </c>
      <c r="D22" s="39"/>
      <c r="E22" s="39"/>
      <c r="F22" s="39"/>
      <c r="G22" s="39" t="str" cm="1">
        <f t="array" ref="G22">IntelHexChecksum(RIGHT(C22,40))</f>
        <v>FA</v>
      </c>
      <c r="H22" s="39"/>
      <c r="I22" s="39"/>
      <c r="J22" s="44"/>
      <c r="V22" s="63"/>
      <c r="W22" s="63" t="s">
        <v>7</v>
      </c>
      <c r="X22" s="63" t="s">
        <v>7</v>
      </c>
      <c r="Y22" s="63" t="s">
        <v>7</v>
      </c>
      <c r="Z22" s="63" t="s">
        <v>7</v>
      </c>
      <c r="AA22" s="63" t="s">
        <v>7</v>
      </c>
      <c r="AB22" s="63" t="s">
        <v>7</v>
      </c>
      <c r="AC22" s="63" t="s">
        <v>7</v>
      </c>
      <c r="AD22" s="63" t="s">
        <v>7</v>
      </c>
      <c r="AE22" s="63" t="s">
        <v>7</v>
      </c>
      <c r="AF22" s="63" t="s">
        <v>7</v>
      </c>
      <c r="AG22" s="63" t="s">
        <v>7</v>
      </c>
      <c r="AH22" s="63" t="s">
        <v>7</v>
      </c>
      <c r="AI22" s="63" t="s">
        <v>7</v>
      </c>
      <c r="AJ22" s="63" t="s">
        <v>7</v>
      </c>
      <c r="AK22" s="63" t="s">
        <v>7</v>
      </c>
      <c r="AL22" s="96" t="s">
        <v>199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s="102" cm="1">
        <f t="array" ref="AQ22">ROUND(PQ2nits((20*$AO22)/(2055+31*65)),3)</f>
        <v>0.20399999999999999</v>
      </c>
    </row>
    <row r="23" spans="2:54" x14ac:dyDescent="0.3">
      <c r="B23" s="52" t="s">
        <v>172</v>
      </c>
      <c r="C23" s="91" t="str">
        <f t="shared" si="2"/>
        <v>:10746000021211070616155f5e5d62010f0e1e1d</v>
      </c>
      <c r="D23" s="39"/>
      <c r="E23" s="39"/>
      <c r="F23" s="39"/>
      <c r="G23" s="39" t="str" cm="1">
        <f t="array" ref="G23">IntelHexChecksum(RIGHT(C23,40))</f>
        <v>EA</v>
      </c>
      <c r="H23" s="39"/>
      <c r="I23" s="39"/>
      <c r="J23" s="44"/>
      <c r="V23" s="63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s="102" cm="1">
        <f t="array" ref="AQ23">ROUND(PQ2nits((20*$AO23)/(2055+31*65)),3)</f>
        <v>0.23599999999999999</v>
      </c>
    </row>
    <row r="24" spans="2:54" x14ac:dyDescent="0.3">
      <c r="B24" s="52" t="s">
        <v>173</v>
      </c>
      <c r="C24" s="91" t="str">
        <f t="shared" si="2"/>
        <v>:1074700076030c002100b83ce07aff4affc08401</v>
      </c>
      <c r="D24" s="39"/>
      <c r="E24" s="39"/>
      <c r="F24" s="39"/>
      <c r="G24" s="39" t="str" cm="1">
        <f t="array" ref="G24">IntelHexChecksum(RIGHT(C24,40))</f>
        <v>8B</v>
      </c>
      <c r="H24" s="39"/>
      <c r="I24" s="39"/>
      <c r="J24" s="44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s="102" cm="1">
        <f t="array" ref="AQ24">ROUND(PQ2nits((20*$AO24)/(2055+31*65)),3)</f>
        <v>0.27100000000000002</v>
      </c>
    </row>
    <row r="25" spans="2:54" x14ac:dyDescent="0.3">
      <c r="B25" s="52" t="s">
        <v>174</v>
      </c>
      <c r="C25" s="91" t="str">
        <f t="shared" si="2"/>
        <v>:10748000020304010000c7e305c000e200fbe50e</v>
      </c>
      <c r="D25" s="39"/>
      <c r="E25" s="39"/>
      <c r="F25" s="39"/>
      <c r="G25" s="39" t="str" cm="1">
        <f t="array" ref="G25">IntelHexChecksum(RIGHT(C25,40))</f>
        <v>B3</v>
      </c>
      <c r="H25" s="39"/>
      <c r="I25" s="39"/>
      <c r="J25" s="44"/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s="102" cm="1">
        <f t="array" ref="AQ25">ROUND(PQ2nits((20*$AO25)/(2055+31*65)),3)</f>
        <v>0.31</v>
      </c>
    </row>
    <row r="26" spans="2:54" x14ac:dyDescent="0.3">
      <c r="B26" s="52" t="s">
        <v>175</v>
      </c>
      <c r="C26" s="91" t="str">
        <f t="shared" si="2"/>
        <v>:1074900060616566e3060501eb0146d000450358</v>
      </c>
      <c r="D26" s="39"/>
      <c r="E26" s="39"/>
      <c r="F26" s="39"/>
      <c r="G26" s="39" t="str" cm="1">
        <f t="array" ref="G26">IntelHexChecksum(RIGHT(C26,40))</f>
        <v>CF</v>
      </c>
      <c r="H26" s="39"/>
      <c r="I26" s="39"/>
      <c r="J26" s="44"/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s="102" cm="1">
        <f t="array" ref="AQ26">ROUND(PQ2nits((20*$AO26)/(2055+31*65)),3)</f>
        <v>0.35299999999999998</v>
      </c>
    </row>
    <row r="27" spans="2:54" x14ac:dyDescent="0.3">
      <c r="B27" s="52" t="s">
        <v>5</v>
      </c>
      <c r="C27" s="91" t="str">
        <f t="shared" si="2"/>
        <v>:1074A0005698A953000000000000000000000000</v>
      </c>
      <c r="D27" s="39"/>
      <c r="E27" s="39"/>
      <c r="F27" s="39"/>
      <c r="G27" s="39" t="str" cm="1">
        <f t="array" ref="G27">IntelHexChecksum(RIGHT(C27,40))</f>
        <v>F2</v>
      </c>
      <c r="H27" s="39"/>
      <c r="I27" s="39"/>
      <c r="J27" s="44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s="102" cm="1">
        <f t="array" ref="AQ27">ROUND(PQ2nits((20*$AO27)/(2055+31*65)),3)</f>
        <v>0.39900000000000002</v>
      </c>
    </row>
    <row r="28" spans="2:54" x14ac:dyDescent="0.3">
      <c r="B28" s="52" t="s">
        <v>176</v>
      </c>
      <c r="C28" s="91" t="str">
        <f t="shared" si="2"/>
        <v>:1074B00000000000000000000000000000000000</v>
      </c>
      <c r="D28" s="39"/>
      <c r="E28" s="39"/>
      <c r="F28" s="39"/>
      <c r="G28" s="39" t="str" cm="1">
        <f t="array" ref="G28">IntelHexChecksum(RIGHT(C28,40))</f>
        <v>CC</v>
      </c>
      <c r="H28" s="39"/>
      <c r="I28" s="39"/>
      <c r="J28" s="44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s="102" cm="1">
        <f t="array" ref="AQ28">ROUND(PQ2nits((20*$AO28)/(2055+31*65)),3)</f>
        <v>0.45</v>
      </c>
    </row>
    <row r="29" spans="2:54" x14ac:dyDescent="0.3">
      <c r="B29" s="52" t="s">
        <v>177</v>
      </c>
      <c r="C29" s="91" t="str">
        <f t="shared" si="2"/>
        <v>:1074C00000000000000000000000000000000000</v>
      </c>
      <c r="D29" s="39"/>
      <c r="E29" s="39"/>
      <c r="F29" s="39"/>
      <c r="G29" s="39" t="str" cm="1">
        <f t="array" ref="G29">IntelHexChecksum(RIGHT(C29,40))</f>
        <v>BC</v>
      </c>
      <c r="H29" s="39"/>
      <c r="I29" s="39"/>
      <c r="J29" s="44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s="102" cm="1">
        <f t="array" ref="AQ29">ROUND(PQ2nits((20*$AO29)/(2055+31*65)),3)</f>
        <v>0.50600000000000001</v>
      </c>
    </row>
    <row r="30" spans="2:54" ht="15" thickBot="1" x14ac:dyDescent="0.35">
      <c r="B30" s="94" t="s">
        <v>178</v>
      </c>
      <c r="C30" s="95" t="str">
        <f>_xlfn.CONCAT(":10",RIGHT(B30,4),"00",AK22:AL22,"00FFFFFFFFFFFF00371801000100")</f>
        <v>:1074D000007600FFFFFFFFFFFF00371801000100</v>
      </c>
      <c r="D30" s="47"/>
      <c r="E30" s="47"/>
      <c r="F30" s="47"/>
      <c r="G30" s="47" t="str" cm="1">
        <f t="array" ref="G30">IntelHexChecksum(RIGHT(C30,40))</f>
        <v>EB</v>
      </c>
      <c r="H30" s="47"/>
      <c r="I30" s="47"/>
      <c r="J30" s="48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s="102" cm="1">
        <f t="array" ref="AQ30">ROUND(PQ2nits((20*$AO30)/(2055+31*65)),3)</f>
        <v>0.56599999999999995</v>
      </c>
    </row>
    <row r="31" spans="2:54" x14ac:dyDescent="0.3">
      <c r="B31" s="92"/>
      <c r="C31" s="93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s="102" cm="1">
        <f t="array" ref="AQ31">ROUND(PQ2nits((20*$AO31)/(2055+31*65)),3)</f>
        <v>0.63100000000000001</v>
      </c>
    </row>
    <row r="32" spans="2:54" x14ac:dyDescent="0.3">
      <c r="B32" s="92"/>
      <c r="C32" s="93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s="102" cm="1">
        <f t="array" ref="AQ32">ROUND(PQ2nits((20*$AO32)/(2055+31*65)),3)</f>
        <v>0.70199999999999996</v>
      </c>
    </row>
    <row r="33" spans="2:55" x14ac:dyDescent="0.3">
      <c r="B33" s="92"/>
      <c r="C33" s="93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s="102" cm="1">
        <f t="array" ref="AQ33">ROUND(PQ2nits((20*$AO33)/(2055+31*65)),3)</f>
        <v>0.77900000000000003</v>
      </c>
    </row>
    <row r="34" spans="2:55" x14ac:dyDescent="0.3">
      <c r="B34" s="92"/>
      <c r="C34" s="93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s="102" cm="1">
        <f t="array" ref="AQ34">ROUND(PQ2nits((20*$AO34)/(2055+31*65)),3)</f>
        <v>0.86199999999999999</v>
      </c>
    </row>
    <row r="35" spans="2:55" x14ac:dyDescent="0.3">
      <c r="B35" s="92"/>
      <c r="C35" s="93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s="102" cm="1">
        <f t="array" ref="AQ35">ROUND(PQ2nits((20*$AO35)/(2055+31*65)),3)</f>
        <v>0.95099999999999996</v>
      </c>
    </row>
    <row r="36" spans="2:55" x14ac:dyDescent="0.3">
      <c r="B36" s="92"/>
      <c r="C36" s="93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s="102" cm="1">
        <f t="array" ref="AQ36">ROUND(PQ2nits((20*$AO36)/(2055+31*65)),3)</f>
        <v>1.048</v>
      </c>
    </row>
    <row r="37" spans="2:55" x14ac:dyDescent="0.3">
      <c r="B37" s="92"/>
      <c r="C37" s="93"/>
    </row>
    <row r="38" spans="2:55" x14ac:dyDescent="0.3">
      <c r="B38" s="92"/>
      <c r="C38" s="93"/>
    </row>
    <row r="39" spans="2:55" x14ac:dyDescent="0.3">
      <c r="B39" s="92"/>
      <c r="C39" s="93"/>
    </row>
    <row r="40" spans="2:55" x14ac:dyDescent="0.3"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</row>
    <row r="41" spans="2:55" x14ac:dyDescent="0.3"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</row>
    <row r="42" spans="2:55" x14ac:dyDescent="0.3"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</row>
    <row r="43" spans="2:55" x14ac:dyDescent="0.3"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</row>
    <row r="44" spans="2:55" x14ac:dyDescent="0.3"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</row>
    <row r="45" spans="2:55" x14ac:dyDescent="0.3"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</row>
    <row r="46" spans="2:55" x14ac:dyDescent="0.3"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</row>
    <row r="47" spans="2:55" x14ac:dyDescent="0.3"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</row>
    <row r="48" spans="2:55" x14ac:dyDescent="0.3"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</row>
    <row r="49" spans="23:39" x14ac:dyDescent="0.3"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</row>
    <row r="50" spans="23:39" x14ac:dyDescent="0.3"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</row>
    <row r="51" spans="23:39" x14ac:dyDescent="0.3"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</row>
    <row r="52" spans="23:39" x14ac:dyDescent="0.3"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</row>
    <row r="53" spans="23:39" x14ac:dyDescent="0.3"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</row>
    <row r="54" spans="23:39" x14ac:dyDescent="0.3"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1" priority="4">
      <formula>$E$7="Not Supported"</formula>
    </cfRule>
  </conditionalFormatting>
  <conditionalFormatting sqref="N7">
    <cfRule type="expression" dxfId="30" priority="3">
      <formula>$P$7="Supported"</formula>
    </cfRule>
  </conditionalFormatting>
  <conditionalFormatting sqref="P7">
    <cfRule type="expression" dxfId="29" priority="2">
      <formula>$N$7="Supported"</formula>
    </cfRule>
  </conditionalFormatting>
  <conditionalFormatting sqref="N7 P7">
    <cfRule type="expression" dxfId="28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0158908C-2567-453F-85C3-3BDA91FA808F}">
      <formula1>$AN$5:$AN$36</formula1>
    </dataValidation>
    <dataValidation type="list" allowBlank="1" showInputMessage="1" showErrorMessage="1" sqref="I7" xr:uid="{72E6EB5F-9097-48EE-BAF7-12BFA1103624}">
      <formula1>$AR$5:$AR$9</formula1>
    </dataValidation>
    <dataValidation type="list" allowBlank="1" showInputMessage="1" showErrorMessage="1" sqref="I3" xr:uid="{D2CE28E2-7F3F-4283-B9A7-D1AEC403FC3E}">
      <formula1>$AU$15:$AU$17</formula1>
    </dataValidation>
    <dataValidation type="list" allowBlank="1" showInputMessage="1" showErrorMessage="1" sqref="L7" xr:uid="{BC53C150-423A-41DD-BC5C-512372C727A5}">
      <formula1>$AU$5:$AU$8</formula1>
    </dataValidation>
    <dataValidation type="list" allowBlank="1" showInputMessage="1" showErrorMessage="1" sqref="E7:F7 H7 N7 P7" xr:uid="{F5B52CAA-0849-43F1-8861-D98379F51B58}">
      <formula1>"Supported, Not Supported"</formula1>
    </dataValidation>
    <dataValidation type="list" allowBlank="1" showInputMessage="1" showErrorMessage="1" sqref="G7" xr:uid="{E408C788-1B8C-4162-9363-1B99366FD45B}">
      <formula1>$AQ$5:$AQ$36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586740</xdr:colOff>
                    <xdr:row>10</xdr:row>
                    <xdr:rowOff>106680</xdr:rowOff>
                  </from>
                  <to>
                    <xdr:col>13</xdr:col>
                    <xdr:colOff>350520</xdr:colOff>
                    <xdr:row>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822960</xdr:colOff>
                    <xdr:row>9</xdr:row>
                    <xdr:rowOff>7620</xdr:rowOff>
                  </from>
                  <to>
                    <xdr:col>2</xdr:col>
                    <xdr:colOff>7620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822960</xdr:colOff>
                    <xdr:row>10</xdr:row>
                    <xdr:rowOff>0</xdr:rowOff>
                  </from>
                  <to>
                    <xdr:col>2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5C424-0669-44D7-AE68-C9E09F8B1EA9}">
  <sheetPr codeName="Sheet7"/>
  <dimension ref="B2:BB54"/>
  <sheetViews>
    <sheetView zoomScale="90" zoomScaleNormal="90" workbookViewId="0">
      <selection activeCell="G34" sqref="G34"/>
    </sheetView>
  </sheetViews>
  <sheetFormatPr defaultRowHeight="14.4" x14ac:dyDescent="0.3"/>
  <cols>
    <col min="2" max="2" width="13.88671875" customWidth="1"/>
    <col min="3" max="3" width="7.44140625" customWidth="1"/>
    <col min="4" max="4" width="11" customWidth="1"/>
    <col min="5" max="5" width="12.77734375" customWidth="1"/>
    <col min="6" max="6" width="15.33203125" customWidth="1"/>
    <col min="7" max="7" width="8.88671875" customWidth="1"/>
    <col min="8" max="8" width="10.6640625" customWidth="1"/>
    <col min="9" max="9" width="10" customWidth="1"/>
    <col min="10" max="10" width="12.6640625" customWidth="1"/>
    <col min="11" max="11" width="9.21875" customWidth="1"/>
    <col min="12" max="12" width="16.21875" customWidth="1"/>
    <col min="13" max="13" width="10" customWidth="1"/>
    <col min="14" max="14" width="13.21875" customWidth="1"/>
    <col min="15" max="15" width="8.44140625" customWidth="1"/>
    <col min="16" max="16" width="12.88671875" customWidth="1"/>
    <col min="17" max="20" width="7.44140625" customWidth="1"/>
    <col min="21" max="21" width="12.5546875" customWidth="1"/>
    <col min="22" max="22" width="7.44140625" customWidth="1"/>
    <col min="23" max="38" width="4.33203125" customWidth="1"/>
    <col min="47" max="47" width="24.5546875" customWidth="1"/>
  </cols>
  <sheetData>
    <row r="2" spans="2:54" ht="15" thickBot="1" x14ac:dyDescent="0.35"/>
    <row r="3" spans="2:54" ht="15" thickBot="1" x14ac:dyDescent="0.35">
      <c r="H3" s="35" t="s">
        <v>31</v>
      </c>
      <c r="I3" s="37" t="s">
        <v>43</v>
      </c>
      <c r="W3" s="65" t="s">
        <v>163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61" t="s">
        <v>66</v>
      </c>
      <c r="C5" s="106" t="str">
        <f>DEC2HEX(_xlfn.BITLSHIFT(BIN2DEC(C8),5)+_xlfn.BITLSHIFT(BIN2DEC(D8),2)+_xlfn.BITLSHIFT(BIN2DEC(E8),1)+BIN2DEC(F8))</f>
        <v>45</v>
      </c>
      <c r="D5" s="106"/>
      <c r="E5" s="106"/>
      <c r="F5" s="107"/>
      <c r="G5" s="108" t="str">
        <f>DEC2HEX(_xlfn.BITLSHIFT(BIN2DEC(G8),3)+_xlfn.BITLSHIFT(BIN2DEC(H8),2)+BIN2DEC(I8),2)</f>
        <v>07</v>
      </c>
      <c r="H5" s="104"/>
      <c r="I5" s="105"/>
      <c r="J5" s="108" t="str">
        <f>DEC2HEX(_xlfn.BITLSHIFT(BIN2DEC(J8),3)+_xlfn.BITLSHIFT(BIN2DEC(K8),1)+BIN2DEC(L8),2)</f>
        <v>49</v>
      </c>
      <c r="K5" s="104"/>
      <c r="L5" s="105"/>
      <c r="M5" s="104" t="str">
        <f>BIN2HEX(_xlfn.CONCAT(M8,N8),2)</f>
        <v>57</v>
      </c>
      <c r="N5" s="105"/>
      <c r="O5" s="104" t="str">
        <f>BIN2HEX(_xlfn.CONCAT(O8,P8),2)</f>
        <v>98</v>
      </c>
      <c r="P5" s="105"/>
      <c r="Q5" s="104" t="str">
        <f>BIN2HEX(_xlfn.CONCAT(Q8,R8),2)</f>
        <v>A9</v>
      </c>
      <c r="R5" s="105"/>
      <c r="S5" s="104" t="str">
        <f>BIN2HEX(_xlfn.CONCAT(S8,T8),2)</f>
        <v>53</v>
      </c>
      <c r="T5" s="105"/>
      <c r="W5" s="84">
        <v>0</v>
      </c>
      <c r="X5" s="85">
        <v>1</v>
      </c>
      <c r="Y5" s="85">
        <v>2</v>
      </c>
      <c r="Z5" s="85">
        <v>3</v>
      </c>
      <c r="AA5" s="85">
        <v>4</v>
      </c>
      <c r="AB5" s="85">
        <v>5</v>
      </c>
      <c r="AC5" s="85">
        <v>6</v>
      </c>
      <c r="AD5" s="85">
        <v>7</v>
      </c>
      <c r="AE5" s="85">
        <v>8</v>
      </c>
      <c r="AF5" s="85">
        <v>9</v>
      </c>
      <c r="AG5" s="85">
        <v>10</v>
      </c>
      <c r="AH5" s="85">
        <v>11</v>
      </c>
      <c r="AI5" s="85">
        <v>12</v>
      </c>
      <c r="AJ5" s="85">
        <v>13</v>
      </c>
      <c r="AK5" s="85">
        <v>14</v>
      </c>
      <c r="AL5" s="86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s="102" cm="1">
        <f t="array" ref="AQ5">ROUND(PQ2nits((20*$AO5)/(2055+31*65)),3)</f>
        <v>0</v>
      </c>
      <c r="AR5" s="12" t="s">
        <v>22</v>
      </c>
      <c r="AS5" s="11" t="s">
        <v>7</v>
      </c>
      <c r="AU5" s="13" t="s">
        <v>35</v>
      </c>
      <c r="AV5" s="6" t="s">
        <v>7</v>
      </c>
    </row>
    <row r="6" spans="2:54" ht="30.75" customHeight="1" x14ac:dyDescent="0.3">
      <c r="B6" s="60" t="s">
        <v>67</v>
      </c>
      <c r="C6" s="56" t="s">
        <v>10</v>
      </c>
      <c r="D6" s="30" t="s">
        <v>12</v>
      </c>
      <c r="E6" s="31" t="s">
        <v>17</v>
      </c>
      <c r="F6" s="32" t="s">
        <v>8</v>
      </c>
      <c r="G6" s="33" t="s">
        <v>60</v>
      </c>
      <c r="H6" s="31" t="s">
        <v>40</v>
      </c>
      <c r="I6" s="34" t="s">
        <v>59</v>
      </c>
      <c r="J6" s="33" t="s">
        <v>61</v>
      </c>
      <c r="K6" s="30" t="s">
        <v>11</v>
      </c>
      <c r="L6" s="32" t="s">
        <v>37</v>
      </c>
      <c r="M6" s="30" t="s">
        <v>58</v>
      </c>
      <c r="N6" s="32" t="s">
        <v>24</v>
      </c>
      <c r="O6" s="30" t="s">
        <v>57</v>
      </c>
      <c r="P6" s="32" t="s">
        <v>23</v>
      </c>
      <c r="Q6" s="30" t="s">
        <v>56</v>
      </c>
      <c r="R6" s="32" t="s">
        <v>14</v>
      </c>
      <c r="S6" s="30" t="s">
        <v>55</v>
      </c>
      <c r="T6" s="32" t="s">
        <v>13</v>
      </c>
      <c r="V6" s="65" t="s">
        <v>68</v>
      </c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s="102" cm="1">
        <f t="array" ref="AQ6">ROUND(PQ2nits((20*$AO6)/(2055+31*65)),3)</f>
        <v>1E-3</v>
      </c>
      <c r="AR6" s="12" t="s">
        <v>21</v>
      </c>
      <c r="AS6" s="11" t="s">
        <v>6</v>
      </c>
      <c r="AU6" s="13" t="s">
        <v>36</v>
      </c>
      <c r="AV6" s="6" t="s">
        <v>6</v>
      </c>
    </row>
    <row r="7" spans="2:54" x14ac:dyDescent="0.3">
      <c r="B7" s="59"/>
      <c r="C7" s="57">
        <v>2</v>
      </c>
      <c r="D7" s="10" t="s">
        <v>20</v>
      </c>
      <c r="E7" s="14" t="s">
        <v>19</v>
      </c>
      <c r="F7" s="14" t="s">
        <v>18</v>
      </c>
      <c r="G7" s="103">
        <v>0</v>
      </c>
      <c r="H7" s="14" t="s">
        <v>18</v>
      </c>
      <c r="I7" s="15" t="s">
        <v>27</v>
      </c>
      <c r="J7" s="26">
        <v>385</v>
      </c>
      <c r="K7" s="27">
        <v>0</v>
      </c>
      <c r="L7" s="16" t="s">
        <v>36</v>
      </c>
      <c r="M7" s="23">
        <f>INDEX(AX15:AX17,MATCH(I3,AU15:AU17,0))</f>
        <v>0.17</v>
      </c>
      <c r="N7" s="36" t="s">
        <v>18</v>
      </c>
      <c r="O7" s="24">
        <f>INDEX(AY15:AY17,MATCH($I$3,$AU$15:$AU$17,0))</f>
        <v>0.79700000000000004</v>
      </c>
      <c r="P7" s="36" t="s">
        <v>19</v>
      </c>
      <c r="Q7" s="24">
        <f>INDEX(AV15:AV17,MATCH($I$3,$AU$15:$AU$17,0))</f>
        <v>0.70799999999999996</v>
      </c>
      <c r="R7" s="25">
        <f>INDEX(AZ15:AZ17,MATCH($I$3,$AU$15:$AU$17,0))</f>
        <v>0.13100000000000001</v>
      </c>
      <c r="S7" s="23">
        <f>INDEX(AW15:AW17,MATCH($I$3,$AU$15:$AU$17,0))</f>
        <v>0.29199999999999998</v>
      </c>
      <c r="T7" s="25">
        <f>INDEX(BA15:BA17,MATCH($I$3,$AU$15:$AU$17,0))</f>
        <v>4.5999999999999999E-2</v>
      </c>
      <c r="V7" s="63"/>
      <c r="W7" s="63" t="s">
        <v>7</v>
      </c>
      <c r="X7" s="63" t="s">
        <v>206</v>
      </c>
      <c r="Y7" s="63" t="s">
        <v>206</v>
      </c>
      <c r="Z7" s="63" t="s">
        <v>206</v>
      </c>
      <c r="AA7" s="63" t="s">
        <v>206</v>
      </c>
      <c r="AB7" s="63" t="s">
        <v>206</v>
      </c>
      <c r="AC7" s="63" t="s">
        <v>206</v>
      </c>
      <c r="AD7" s="63" t="s">
        <v>7</v>
      </c>
      <c r="AE7" s="63" t="s">
        <v>128</v>
      </c>
      <c r="AF7" s="63" t="s">
        <v>207</v>
      </c>
      <c r="AG7" s="63" t="s">
        <v>6</v>
      </c>
      <c r="AH7" s="63" t="s">
        <v>7</v>
      </c>
      <c r="AI7" s="63" t="s">
        <v>6</v>
      </c>
      <c r="AJ7" s="63" t="s">
        <v>7</v>
      </c>
      <c r="AK7" s="63" t="s">
        <v>7</v>
      </c>
      <c r="AL7" s="63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s="102" cm="1">
        <f t="array" ref="AQ7">ROUND(PQ2nits((20*$AO7)/(2055+31*65)),3)</f>
        <v>2E-3</v>
      </c>
      <c r="AR7" s="12" t="s">
        <v>26</v>
      </c>
      <c r="AS7" s="11" t="s">
        <v>28</v>
      </c>
      <c r="AU7" s="13" t="s">
        <v>38</v>
      </c>
      <c r="AV7" s="6" t="s">
        <v>28</v>
      </c>
    </row>
    <row r="8" spans="2:54" s="7" customFormat="1" ht="15" thickBot="1" x14ac:dyDescent="0.35">
      <c r="B8" s="62"/>
      <c r="C8" s="58" t="s">
        <v>15</v>
      </c>
      <c r="D8" s="17" t="s">
        <v>16</v>
      </c>
      <c r="E8" s="18">
        <f>IF(EXACT(E7,"Supported"),1,0)</f>
        <v>0</v>
      </c>
      <c r="F8" s="18">
        <f>IF(EXACT(F7,"Supported"),1,0)</f>
        <v>1</v>
      </c>
      <c r="G8" s="20" t="str">
        <f>DEC2BIN(_xlfn.XLOOKUP(G7,AQ5:AQ36,AO5:AO36),5)</f>
        <v>00000</v>
      </c>
      <c r="H8" s="18">
        <f>IF(EXACT(H7,"Supported"),1,0)</f>
        <v>1</v>
      </c>
      <c r="I8" s="19" t="str">
        <f>IF(EXACT(E7,"Not Supported"),"11",INDEX(AS5:AS8,MATCH(I7,AR5:AR8,0)))</f>
        <v>11</v>
      </c>
      <c r="J8" s="20" t="str">
        <f>DEC2BIN(VLOOKUP(J7,AN5:AO36,2),5)</f>
        <v>01001</v>
      </c>
      <c r="K8" s="28">
        <v>0</v>
      </c>
      <c r="L8" s="19" t="str">
        <f>VLOOKUP(L7,AU5:AV8,2)</f>
        <v>01</v>
      </c>
      <c r="M8" s="29" t="str">
        <f>DEC2BIN(M7/( 0.49609375/127),7)</f>
        <v>0101011</v>
      </c>
      <c r="N8" s="21">
        <f>IF(AND(EXACT(N7,"Supported"),EXACT(P7,"Not Supported")),1,0)</f>
        <v>1</v>
      </c>
      <c r="O8" s="29" t="str">
        <f>DEC2BIN((O7-0.5)/((0.99609375-0.5)/127),7)</f>
        <v>1001100</v>
      </c>
      <c r="P8" s="21">
        <f>IF(AND(EXACT(P7,"Supported"),EXACT(N7,"Not Supported")),1,0)</f>
        <v>0</v>
      </c>
      <c r="Q8" s="20" t="str">
        <f>DEC2BIN((Q7-0.625)/((0.74609375-0.625)/31),5)</f>
        <v>10101</v>
      </c>
      <c r="R8" s="19" t="str">
        <f>DEC2BIN((R7-0.125)/((0.15234375-0.125)/7),3)</f>
        <v>001</v>
      </c>
      <c r="S8" s="20" t="str">
        <f>DEC2BIN((S7-0.25)/((0.37109375-0.25)/31),5)</f>
        <v>01010</v>
      </c>
      <c r="T8" s="19" t="str">
        <f>DEC2BIN((T7-0.03125)/((0.05859375-0.03125)/7),3)</f>
        <v>011</v>
      </c>
      <c r="V8" s="63"/>
      <c r="W8" s="63" t="s">
        <v>250</v>
      </c>
      <c r="X8" s="63" t="s">
        <v>225</v>
      </c>
      <c r="Y8" s="63" t="s">
        <v>6</v>
      </c>
      <c r="Z8" s="63" t="s">
        <v>89</v>
      </c>
      <c r="AA8" s="63" t="s">
        <v>112</v>
      </c>
      <c r="AB8" s="63" t="s">
        <v>131</v>
      </c>
      <c r="AC8" s="63" t="s">
        <v>132</v>
      </c>
      <c r="AD8" s="63" t="s">
        <v>113</v>
      </c>
      <c r="AE8" s="63" t="s">
        <v>208</v>
      </c>
      <c r="AF8" s="63" t="s">
        <v>209</v>
      </c>
      <c r="AG8" s="63" t="s">
        <v>134</v>
      </c>
      <c r="AH8" s="63" t="s">
        <v>207</v>
      </c>
      <c r="AI8" s="63" t="s">
        <v>108</v>
      </c>
      <c r="AJ8" s="63" t="s">
        <v>210</v>
      </c>
      <c r="AK8" s="63" t="s">
        <v>211</v>
      </c>
      <c r="AL8" s="63" t="s">
        <v>137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s="102" cm="1">
        <f t="array" ref="AQ8">ROUND(PQ2nits((20*$AO8)/(2055+31*65)),3)</f>
        <v>5.0000000000000001E-3</v>
      </c>
      <c r="AR8" s="11" t="s">
        <v>27</v>
      </c>
      <c r="AS8" s="11" t="s">
        <v>29</v>
      </c>
      <c r="AU8" s="13" t="s">
        <v>39</v>
      </c>
      <c r="AV8" s="8" t="s">
        <v>29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3"/>
      <c r="W9" s="63" t="s">
        <v>138</v>
      </c>
      <c r="X9" s="63" t="s">
        <v>139</v>
      </c>
      <c r="Y9" s="63" t="s">
        <v>210</v>
      </c>
      <c r="Z9" s="63" t="s">
        <v>7</v>
      </c>
      <c r="AA9" s="63" t="s">
        <v>7</v>
      </c>
      <c r="AB9" s="63" t="s">
        <v>7</v>
      </c>
      <c r="AC9" s="63" t="s">
        <v>6</v>
      </c>
      <c r="AD9" s="63" t="s">
        <v>6</v>
      </c>
      <c r="AE9" s="63" t="s">
        <v>6</v>
      </c>
      <c r="AF9" s="63" t="s">
        <v>6</v>
      </c>
      <c r="AG9" s="63" t="s">
        <v>6</v>
      </c>
      <c r="AH9" s="63" t="s">
        <v>6</v>
      </c>
      <c r="AI9" s="63" t="s">
        <v>6</v>
      </c>
      <c r="AJ9" s="63" t="s">
        <v>6</v>
      </c>
      <c r="AK9" s="63" t="s">
        <v>6</v>
      </c>
      <c r="AL9" s="63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s="102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9" t="s">
        <v>63</v>
      </c>
      <c r="C10" s="40" t="s">
        <v>65</v>
      </c>
      <c r="D10" s="41"/>
      <c r="E10" s="41"/>
      <c r="F10" s="41"/>
      <c r="G10" s="41"/>
      <c r="H10" s="41"/>
      <c r="I10" s="41"/>
      <c r="J10" s="42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3"/>
      <c r="W10" s="63" t="s">
        <v>6</v>
      </c>
      <c r="X10" s="63" t="s">
        <v>6</v>
      </c>
      <c r="Y10" s="63" t="s">
        <v>6</v>
      </c>
      <c r="Z10" s="63" t="s">
        <v>6</v>
      </c>
      <c r="AA10" s="63" t="s">
        <v>6</v>
      </c>
      <c r="AB10" s="63" t="s">
        <v>6</v>
      </c>
      <c r="AC10" s="63" t="s">
        <v>140</v>
      </c>
      <c r="AD10" s="63" t="s">
        <v>212</v>
      </c>
      <c r="AE10" s="63" t="s">
        <v>7</v>
      </c>
      <c r="AF10" s="63" t="s">
        <v>145</v>
      </c>
      <c r="AG10" s="63" t="s">
        <v>213</v>
      </c>
      <c r="AH10" s="63" t="s">
        <v>146</v>
      </c>
      <c r="AI10" s="63" t="s">
        <v>214</v>
      </c>
      <c r="AJ10" s="63" t="s">
        <v>112</v>
      </c>
      <c r="AK10" s="63" t="s">
        <v>211</v>
      </c>
      <c r="AL10" s="63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s="102" cm="1">
        <f t="array" ref="AQ10">ROUND(PQ2nits((20*$AO10)/(2055+31*65)),3)</f>
        <v>1.2999999999999999E-2</v>
      </c>
      <c r="AR10" s="5"/>
    </row>
    <row r="11" spans="2:54" ht="15" thickBot="1" x14ac:dyDescent="0.35">
      <c r="B11" s="50" t="s">
        <v>64</v>
      </c>
      <c r="C11" s="38" t="s">
        <v>254</v>
      </c>
      <c r="D11" s="9"/>
      <c r="E11" s="9"/>
      <c r="F11" s="9"/>
      <c r="G11" s="9"/>
      <c r="H11" s="9"/>
      <c r="I11" s="9"/>
      <c r="J11" s="43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3"/>
      <c r="W11" s="63" t="s">
        <v>215</v>
      </c>
      <c r="X11" s="63" t="s">
        <v>7</v>
      </c>
      <c r="Y11" s="63" t="s">
        <v>235</v>
      </c>
      <c r="Z11" s="63" t="s">
        <v>238</v>
      </c>
      <c r="AA11" s="63" t="s">
        <v>125</v>
      </c>
      <c r="AB11" s="63" t="s">
        <v>7</v>
      </c>
      <c r="AC11" s="63" t="s">
        <v>7</v>
      </c>
      <c r="AD11" s="63" t="s">
        <v>216</v>
      </c>
      <c r="AE11" s="63" t="s">
        <v>88</v>
      </c>
      <c r="AF11" s="63" t="s">
        <v>217</v>
      </c>
      <c r="AG11" s="63" t="s">
        <v>112</v>
      </c>
      <c r="AH11" s="63" t="s">
        <v>126</v>
      </c>
      <c r="AI11" s="63" t="s">
        <v>151</v>
      </c>
      <c r="AJ11" s="63" t="s">
        <v>111</v>
      </c>
      <c r="AK11" s="63" t="s">
        <v>218</v>
      </c>
      <c r="AL11" s="63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s="102" cm="1">
        <f t="array" ref="AQ11">ROUND(PQ2nits((20*$AO11)/(2055+31*65)),3)</f>
        <v>1.9E-2</v>
      </c>
      <c r="AR11" s="5"/>
    </row>
    <row r="12" spans="2:54" x14ac:dyDescent="0.3">
      <c r="B12" s="53" t="s">
        <v>0</v>
      </c>
      <c r="C12" s="54" t="str">
        <f>_xlfn.CONCAT(B5:T5)</f>
        <v>EB0146D0004507495798A953</v>
      </c>
      <c r="D12" s="54"/>
      <c r="E12" s="54"/>
      <c r="F12" s="54"/>
      <c r="G12" s="54"/>
      <c r="H12" s="54"/>
      <c r="I12" s="54"/>
      <c r="J12" s="55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3"/>
      <c r="W12" s="63" t="s">
        <v>148</v>
      </c>
      <c r="X12" s="63" t="s">
        <v>219</v>
      </c>
      <c r="Y12" s="63" t="s">
        <v>142</v>
      </c>
      <c r="Z12" s="63" t="s">
        <v>7</v>
      </c>
      <c r="AA12" s="63" t="s">
        <v>235</v>
      </c>
      <c r="AB12" s="63" t="s">
        <v>238</v>
      </c>
      <c r="AC12" s="63" t="s">
        <v>125</v>
      </c>
      <c r="AD12" s="63" t="s">
        <v>7</v>
      </c>
      <c r="AE12" s="63" t="s">
        <v>7</v>
      </c>
      <c r="AF12" s="63" t="s">
        <v>216</v>
      </c>
      <c r="AG12" s="63" t="s">
        <v>7</v>
      </c>
      <c r="AH12" s="63" t="s">
        <v>7</v>
      </c>
      <c r="AI12" s="63" t="s">
        <v>7</v>
      </c>
      <c r="AJ12" s="63" t="s">
        <v>220</v>
      </c>
      <c r="AK12" s="63" t="s">
        <v>7</v>
      </c>
      <c r="AL12" s="63" t="s">
        <v>251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s="102" cm="1">
        <f t="array" ref="AQ12">ROUND(PQ2nits((20*$AO12)/(2055+31*65)),3)</f>
        <v>2.5999999999999999E-2</v>
      </c>
    </row>
    <row r="13" spans="2:54" x14ac:dyDescent="0.3">
      <c r="B13" s="51" t="s">
        <v>62</v>
      </c>
      <c r="C13" s="45" t="str" cm="1">
        <f t="array" ref="C13">EDIDCheckSum(C12)</f>
        <v>58</v>
      </c>
      <c r="D13" s="39"/>
      <c r="E13" s="39"/>
      <c r="F13" s="39"/>
      <c r="G13" s="39"/>
      <c r="H13" s="39"/>
      <c r="I13" s="39"/>
      <c r="J13" s="44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3"/>
      <c r="W13" s="63" t="s">
        <v>132</v>
      </c>
      <c r="X13" s="63" t="s">
        <v>218</v>
      </c>
      <c r="Y13" s="63" t="s">
        <v>90</v>
      </c>
      <c r="Z13" s="63" t="s">
        <v>106</v>
      </c>
      <c r="AA13" s="63" t="s">
        <v>145</v>
      </c>
      <c r="AB13" s="63" t="s">
        <v>145</v>
      </c>
      <c r="AC13" s="63" t="s">
        <v>157</v>
      </c>
      <c r="AD13" s="63" t="s">
        <v>208</v>
      </c>
      <c r="AE13" s="63" t="s">
        <v>102</v>
      </c>
      <c r="AF13" s="63" t="s">
        <v>102</v>
      </c>
      <c r="AG13" s="63" t="s">
        <v>102</v>
      </c>
      <c r="AH13" s="63" t="s">
        <v>102</v>
      </c>
      <c r="AI13" s="63" t="s">
        <v>7</v>
      </c>
      <c r="AJ13" s="63" t="s">
        <v>7</v>
      </c>
      <c r="AK13" s="63" t="s">
        <v>7</v>
      </c>
      <c r="AL13" s="63" t="s">
        <v>221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s="102" cm="1">
        <f t="array" ref="AQ13">ROUND(PQ2nits((20*$AO13)/(2055+31*65)),3)</f>
        <v>3.5000000000000003E-2</v>
      </c>
    </row>
    <row r="14" spans="2:54" x14ac:dyDescent="0.3">
      <c r="B14" s="52" t="s">
        <v>164</v>
      </c>
      <c r="C14" s="91" t="str">
        <f>_xlfn.CONCAT(":1073D0000086",_xlfn.CONCAT(W7:AJ7))</f>
        <v>:1073D000008600FFFFFFFFFFFF0034A301000100</v>
      </c>
      <c r="D14" s="39"/>
      <c r="E14" s="39"/>
      <c r="F14" s="39"/>
      <c r="G14" s="39" t="str" cm="1">
        <f t="array" ref="G14">IntelHexChecksum(RIGHT(C14,40))</f>
        <v>54</v>
      </c>
      <c r="H14" s="39"/>
      <c r="I14" s="39"/>
      <c r="J14" s="44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3"/>
      <c r="W14" s="63" t="s">
        <v>7</v>
      </c>
      <c r="X14" s="63" t="s">
        <v>242</v>
      </c>
      <c r="Y14" s="63" t="s">
        <v>180</v>
      </c>
      <c r="Z14" s="63" t="s">
        <v>225</v>
      </c>
      <c r="AA14" s="63" t="s">
        <v>236</v>
      </c>
      <c r="AB14" s="63" t="s">
        <v>223</v>
      </c>
      <c r="AC14" s="63" t="s">
        <v>7</v>
      </c>
      <c r="AD14" s="63" t="s">
        <v>208</v>
      </c>
      <c r="AE14" s="63" t="s">
        <v>102</v>
      </c>
      <c r="AF14" s="63" t="s">
        <v>102</v>
      </c>
      <c r="AG14" s="63" t="s">
        <v>102</v>
      </c>
      <c r="AH14" s="63" t="s">
        <v>102</v>
      </c>
      <c r="AI14" s="63" t="s">
        <v>102</v>
      </c>
      <c r="AJ14" s="63" t="s">
        <v>102</v>
      </c>
      <c r="AK14" s="63" t="s">
        <v>6</v>
      </c>
      <c r="AL14" s="63" t="s">
        <v>252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s="102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52" t="s">
        <v>165</v>
      </c>
      <c r="C15" s="91" t="str">
        <f>_xlfn.CONCAT(":10",RIGHT(B15,4),"00",AK7:AL7,W8:AJ8)</f>
        <v>:1073E0000000171F0103807341780ACF74A3574C</v>
      </c>
      <c r="D15" s="39"/>
      <c r="E15" s="39"/>
      <c r="F15" s="39"/>
      <c r="G15" s="39" t="str" cm="1">
        <f t="array" ref="G15">IntelHexChecksum(RIGHT(C15,40))</f>
        <v>24</v>
      </c>
      <c r="H15" s="39"/>
      <c r="I15" s="39"/>
      <c r="J15" s="44"/>
      <c r="V15" s="65" t="s">
        <v>69</v>
      </c>
      <c r="W15" s="63" t="s">
        <v>88</v>
      </c>
      <c r="X15" s="63" t="s">
        <v>89</v>
      </c>
      <c r="Y15" s="96" t="s">
        <v>146</v>
      </c>
      <c r="Z15" s="63" t="s">
        <v>243</v>
      </c>
      <c r="AA15" s="63" t="s">
        <v>244</v>
      </c>
      <c r="AB15" s="63" t="s">
        <v>6</v>
      </c>
      <c r="AC15" s="63" t="s">
        <v>88</v>
      </c>
      <c r="AD15" s="63" t="s">
        <v>89</v>
      </c>
      <c r="AE15" s="63" t="s">
        <v>95</v>
      </c>
      <c r="AF15" s="63" t="s">
        <v>96</v>
      </c>
      <c r="AG15" s="63" t="s">
        <v>97</v>
      </c>
      <c r="AH15" s="63" t="s">
        <v>196</v>
      </c>
      <c r="AI15" s="63" t="s">
        <v>98</v>
      </c>
      <c r="AJ15" s="63" t="s">
        <v>99</v>
      </c>
      <c r="AK15" s="63" t="s">
        <v>100</v>
      </c>
      <c r="AL15" s="63" t="s">
        <v>101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s="102" cm="1">
        <f t="array" ref="AQ15">ROUND(PQ2nits((20*$AO15)/(2055+31*65)),3)</f>
        <v>5.8000000000000003E-2</v>
      </c>
      <c r="AU15" s="6" t="s">
        <v>42</v>
      </c>
      <c r="AV15" s="22">
        <v>0.64</v>
      </c>
      <c r="AW15" s="22">
        <v>0.33</v>
      </c>
      <c r="AX15" s="22">
        <v>0.3</v>
      </c>
      <c r="AY15" s="22">
        <v>0.6</v>
      </c>
      <c r="AZ15" s="22">
        <v>0.15</v>
      </c>
      <c r="BA15" s="22">
        <v>0.06</v>
      </c>
      <c r="BB15" t="s">
        <v>53</v>
      </c>
    </row>
    <row r="16" spans="2:54" x14ac:dyDescent="0.3">
      <c r="B16" s="52" t="s">
        <v>166</v>
      </c>
      <c r="C16" s="91" t="str">
        <f t="shared" ref="C16:C29" si="2">_xlfn.CONCAT(":10",RIGHT(B16,4),"00",AK8:AL8,W9:AJ9)</f>
        <v>:1073F000B02309484C0000000101010101010101</v>
      </c>
      <c r="D16" s="39"/>
      <c r="E16" s="39"/>
      <c r="F16" s="39"/>
      <c r="G16" s="39" t="str" cm="1">
        <f t="array" ref="G16">IntelHexChecksum(RIGHT(C16,40))</f>
        <v>15</v>
      </c>
      <c r="H16" s="39"/>
      <c r="I16" s="39"/>
      <c r="J16" s="44"/>
      <c r="V16" s="63"/>
      <c r="W16" s="63" t="s">
        <v>225</v>
      </c>
      <c r="X16" s="63" t="s">
        <v>102</v>
      </c>
      <c r="Y16" s="63" t="s">
        <v>125</v>
      </c>
      <c r="Z16" s="63" t="s">
        <v>103</v>
      </c>
      <c r="AA16" s="63" t="s">
        <v>223</v>
      </c>
      <c r="AB16" s="63" t="s">
        <v>227</v>
      </c>
      <c r="AC16" s="63" t="s">
        <v>237</v>
      </c>
      <c r="AD16" s="63" t="s">
        <v>224</v>
      </c>
      <c r="AE16" s="63" t="s">
        <v>245</v>
      </c>
      <c r="AF16" s="63" t="s">
        <v>228</v>
      </c>
      <c r="AG16" s="63" t="s">
        <v>92</v>
      </c>
      <c r="AH16" s="63" t="s">
        <v>91</v>
      </c>
      <c r="AI16" s="63" t="s">
        <v>198</v>
      </c>
      <c r="AJ16" s="63" t="s">
        <v>194</v>
      </c>
      <c r="AK16" s="63" t="s">
        <v>253</v>
      </c>
      <c r="AL16" s="63" t="s">
        <v>93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s="102" cm="1">
        <f t="array" ref="AQ16">ROUND(PQ2nits((20*$AO16)/(2055+31*65)),3)</f>
        <v>7.1999999999999995E-2</v>
      </c>
      <c r="AU16" s="6" t="s">
        <v>43</v>
      </c>
      <c r="AV16" s="22">
        <v>0.70799999999999996</v>
      </c>
      <c r="AW16" s="22">
        <v>0.29199999999999998</v>
      </c>
      <c r="AX16" s="22">
        <v>0.17</v>
      </c>
      <c r="AY16" s="22">
        <v>0.79700000000000004</v>
      </c>
      <c r="AZ16" s="22">
        <v>0.13100000000000001</v>
      </c>
      <c r="BA16" s="22">
        <v>4.5999999999999999E-2</v>
      </c>
      <c r="BB16" t="s">
        <v>51</v>
      </c>
    </row>
    <row r="17" spans="2:54" x14ac:dyDescent="0.3">
      <c r="B17" s="52" t="s">
        <v>167</v>
      </c>
      <c r="C17" s="91" t="str">
        <f t="shared" si="2"/>
        <v>:10740000010101010101010108E80030F2705A80</v>
      </c>
      <c r="D17" s="39"/>
      <c r="E17" s="39"/>
      <c r="F17" s="39"/>
      <c r="G17" s="39" t="str" cm="1">
        <f t="array" ref="G17">IntelHexChecksum(RIGHT(C17,40))</f>
        <v>18</v>
      </c>
      <c r="H17" s="39"/>
      <c r="I17" s="39"/>
      <c r="J17" s="44"/>
      <c r="V17" s="63"/>
      <c r="W17" s="63" t="s">
        <v>94</v>
      </c>
      <c r="X17" s="63" t="s">
        <v>246</v>
      </c>
      <c r="Y17" s="63" t="s">
        <v>138</v>
      </c>
      <c r="Z17" s="63" t="s">
        <v>226</v>
      </c>
      <c r="AA17" s="63" t="s">
        <v>97</v>
      </c>
      <c r="AB17" s="63" t="s">
        <v>107</v>
      </c>
      <c r="AC17" s="63" t="s">
        <v>97</v>
      </c>
      <c r="AD17" s="63" t="s">
        <v>106</v>
      </c>
      <c r="AE17" s="63" t="s">
        <v>108</v>
      </c>
      <c r="AF17" s="63" t="s">
        <v>114</v>
      </c>
      <c r="AG17" s="63" t="s">
        <v>7</v>
      </c>
      <c r="AH17" s="63" t="s">
        <v>227</v>
      </c>
      <c r="AI17" s="63" t="s">
        <v>97</v>
      </c>
      <c r="AJ17" s="63" t="s">
        <v>231</v>
      </c>
      <c r="AK17" s="63" t="s">
        <v>228</v>
      </c>
      <c r="AL17" s="63" t="s">
        <v>229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s="102" cm="1">
        <f t="array" ref="AQ17">ROUND(PQ2nits((20*$AO17)/(2055+31*65)),3)</f>
        <v>8.7999999999999995E-2</v>
      </c>
      <c r="AU17" s="6" t="s">
        <v>44</v>
      </c>
      <c r="AV17" s="22">
        <v>0.68</v>
      </c>
      <c r="AW17" s="22">
        <v>0.32</v>
      </c>
      <c r="AX17" s="22">
        <v>0.26500000000000001</v>
      </c>
      <c r="AY17" s="22">
        <v>0.69</v>
      </c>
      <c r="AZ17" s="22">
        <v>0.15</v>
      </c>
      <c r="BA17" s="22">
        <v>0.06</v>
      </c>
      <c r="BB17" t="s">
        <v>52</v>
      </c>
    </row>
    <row r="18" spans="2:54" x14ac:dyDescent="0.3">
      <c r="B18" s="52" t="s">
        <v>168</v>
      </c>
      <c r="C18" s="91" t="str">
        <f t="shared" si="2"/>
        <v>:10741000B0588A00C48E2100001E023A80187138</v>
      </c>
      <c r="D18" s="39"/>
      <c r="E18" s="39"/>
      <c r="F18" s="39"/>
      <c r="G18" s="39" t="str" cm="1">
        <f t="array" ref="G18">IntelHexChecksum(RIGHT(C18,40))</f>
        <v>CC</v>
      </c>
      <c r="H18" s="39"/>
      <c r="I18" s="39"/>
      <c r="J18" s="44"/>
      <c r="V18" s="63"/>
      <c r="W18" s="63" t="s">
        <v>6</v>
      </c>
      <c r="X18" s="63" t="s">
        <v>110</v>
      </c>
      <c r="Y18" s="63" t="s">
        <v>6</v>
      </c>
      <c r="Z18" s="63" t="s">
        <v>7</v>
      </c>
      <c r="AA18" s="63" t="s">
        <v>7</v>
      </c>
      <c r="AB18" s="63" t="s">
        <v>233</v>
      </c>
      <c r="AC18" s="63" t="s">
        <v>7</v>
      </c>
      <c r="AD18" s="63" t="s">
        <v>206</v>
      </c>
      <c r="AE18" s="63" t="s">
        <v>240</v>
      </c>
      <c r="AF18" s="63" t="s">
        <v>89</v>
      </c>
      <c r="AG18" s="63" t="s">
        <v>232</v>
      </c>
      <c r="AH18" s="63" t="s">
        <v>7</v>
      </c>
      <c r="AI18" s="63" t="s">
        <v>28</v>
      </c>
      <c r="AJ18" s="63" t="s">
        <v>7</v>
      </c>
      <c r="AK18" s="63" t="s">
        <v>113</v>
      </c>
      <c r="AL18" s="63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s="102" cm="1">
        <f t="array" ref="AQ18">ROUND(PQ2nits((20*$AO18)/(2055+31*65)),3)</f>
        <v>0.106</v>
      </c>
    </row>
    <row r="19" spans="2:54" x14ac:dyDescent="0.3">
      <c r="B19" s="52" t="s">
        <v>169</v>
      </c>
      <c r="C19" s="91" t="str">
        <f t="shared" si="2"/>
        <v>:107420002D40582C4500C48E2100001E000000FC</v>
      </c>
      <c r="D19" s="39"/>
      <c r="E19" s="39"/>
      <c r="F19" s="39"/>
      <c r="G19" s="39" t="str" cm="1">
        <f t="array" ref="G19">IntelHexChecksum(RIGHT(C19,40))</f>
        <v>99</v>
      </c>
      <c r="H19" s="39"/>
      <c r="I19" s="39"/>
      <c r="J19" s="44"/>
      <c r="V19" s="63"/>
      <c r="W19" s="63" t="s">
        <v>102</v>
      </c>
      <c r="X19" s="63" t="s">
        <v>231</v>
      </c>
      <c r="Y19" s="63" t="s">
        <v>193</v>
      </c>
      <c r="Z19" s="63" t="s">
        <v>6</v>
      </c>
      <c r="AA19" s="63" t="s">
        <v>88</v>
      </c>
      <c r="AB19" s="63" t="s">
        <v>89</v>
      </c>
      <c r="AC19" s="63" t="s">
        <v>95</v>
      </c>
      <c r="AD19" s="63" t="s">
        <v>6</v>
      </c>
      <c r="AE19" s="63" t="s">
        <v>155</v>
      </c>
      <c r="AF19" s="63" t="s">
        <v>7</v>
      </c>
      <c r="AG19" s="63" t="s">
        <v>7</v>
      </c>
      <c r="AH19" s="63" t="s">
        <v>109</v>
      </c>
      <c r="AI19" s="63" t="s">
        <v>234</v>
      </c>
      <c r="AJ19" s="63" t="s">
        <v>224</v>
      </c>
      <c r="AK19" s="63" t="s">
        <v>235</v>
      </c>
      <c r="AL19" s="63" t="s">
        <v>6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s="102" cm="1">
        <f t="array" ref="AQ19">ROUND(PQ2nits((20*$AO19)/(2055+31*65)),3)</f>
        <v>0.127</v>
      </c>
    </row>
    <row r="20" spans="2:54" x14ac:dyDescent="0.3">
      <c r="B20" s="52" t="s">
        <v>170</v>
      </c>
      <c r="C20" s="91" t="str">
        <f t="shared" si="2"/>
        <v>:107430000056412D53503030330A202020200000</v>
      </c>
      <c r="D20" s="39"/>
      <c r="E20" s="39"/>
      <c r="F20" s="39"/>
      <c r="G20" s="39" t="str" cm="1">
        <f t="array" ref="G20">IntelHexChecksum(RIGHT(C20,40))</f>
        <v>C8</v>
      </c>
      <c r="H20" s="39"/>
      <c r="I20" s="39"/>
      <c r="J20" s="44"/>
      <c r="V20" s="63"/>
      <c r="W20" s="63" t="s">
        <v>113</v>
      </c>
      <c r="X20" s="63" t="s">
        <v>112</v>
      </c>
      <c r="Y20" s="63" t="s">
        <v>97</v>
      </c>
      <c r="Z20" s="63" t="s">
        <v>230</v>
      </c>
      <c r="AA20" s="63" t="s">
        <v>96</v>
      </c>
      <c r="AB20" s="63" t="s">
        <v>247</v>
      </c>
      <c r="AC20" s="63" t="s">
        <v>6</v>
      </c>
      <c r="AD20" s="63" t="s">
        <v>248</v>
      </c>
      <c r="AE20" s="63" t="s">
        <v>222</v>
      </c>
      <c r="AF20" s="63" t="s">
        <v>7</v>
      </c>
      <c r="AG20" s="63" t="s">
        <v>7</v>
      </c>
      <c r="AH20" s="63" t="s">
        <v>92</v>
      </c>
      <c r="AI20" s="63" t="s">
        <v>7</v>
      </c>
      <c r="AJ20" s="63" t="s">
        <v>249</v>
      </c>
      <c r="AK20" s="63" t="s">
        <v>114</v>
      </c>
      <c r="AL20" s="63" t="s">
        <v>222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s="102" cm="1">
        <f t="array" ref="AQ20">ROUND(PQ2nits((20*$AO20)/(2055+31*65)),3)</f>
        <v>0.15</v>
      </c>
    </row>
    <row r="21" spans="2:54" x14ac:dyDescent="0.3">
      <c r="B21" s="52" t="s">
        <v>171</v>
      </c>
      <c r="C21" s="91" t="str">
        <f t="shared" si="2"/>
        <v>:1074400000FD003B461F8C3C000A202020202020</v>
      </c>
      <c r="D21" s="39"/>
      <c r="E21" s="39"/>
      <c r="F21" s="39"/>
      <c r="G21" s="39" t="str" cm="1">
        <f t="array" ref="G21">IntelHexChecksum(RIGHT(C21,40))</f>
        <v>0D</v>
      </c>
      <c r="H21" s="39"/>
      <c r="I21" s="39"/>
      <c r="J21" s="44"/>
      <c r="V21" s="63"/>
      <c r="W21" s="63" t="s">
        <v>6</v>
      </c>
      <c r="X21" s="63" t="s">
        <v>7</v>
      </c>
      <c r="Y21" s="63" t="s">
        <v>7</v>
      </c>
      <c r="Z21" s="63" t="s">
        <v>7</v>
      </c>
      <c r="AA21" s="96" t="s">
        <v>179</v>
      </c>
      <c r="AB21" s="96" t="s">
        <v>6</v>
      </c>
      <c r="AC21" s="96" t="s">
        <v>180</v>
      </c>
      <c r="AD21" s="96" t="s">
        <v>181</v>
      </c>
      <c r="AE21" s="96" t="s">
        <v>7</v>
      </c>
      <c r="AF21" s="98" t="str">
        <f>C5</f>
        <v>45</v>
      </c>
      <c r="AG21" s="98" t="str">
        <f>G5</f>
        <v>07</v>
      </c>
      <c r="AH21" s="98" t="str">
        <f>J5</f>
        <v>49</v>
      </c>
      <c r="AI21" s="98" t="str">
        <f>M5</f>
        <v>57</v>
      </c>
      <c r="AJ21" s="98" t="str">
        <f>O5</f>
        <v>98</v>
      </c>
      <c r="AK21" s="98" t="str">
        <f>Q5</f>
        <v>A9</v>
      </c>
      <c r="AL21" s="98" t="str">
        <f>S5</f>
        <v>53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s="102" cm="1">
        <f t="array" ref="AQ21">ROUND(PQ2nits((20*$AO21)/(2055+31*65)),3)</f>
        <v>0.17599999999999999</v>
      </c>
    </row>
    <row r="22" spans="2:54" x14ac:dyDescent="0.3">
      <c r="B22" s="52" t="s">
        <v>162</v>
      </c>
      <c r="C22" s="91" t="str">
        <f t="shared" si="2"/>
        <v>:107450000147020370F15C010203040507901213</v>
      </c>
      <c r="D22" s="39"/>
      <c r="E22" s="39"/>
      <c r="F22" s="39"/>
      <c r="G22" s="39" t="str" cm="1">
        <f t="array" ref="G22">IntelHexChecksum(RIGHT(C22,40))</f>
        <v>57</v>
      </c>
      <c r="H22" s="39"/>
      <c r="I22" s="39"/>
      <c r="J22" s="44"/>
      <c r="V22" s="63"/>
      <c r="W22" s="63" t="s">
        <v>7</v>
      </c>
      <c r="X22" s="63" t="s">
        <v>7</v>
      </c>
      <c r="Y22" s="63" t="s">
        <v>7</v>
      </c>
      <c r="Z22" s="63" t="s">
        <v>7</v>
      </c>
      <c r="AA22" s="63" t="s">
        <v>7</v>
      </c>
      <c r="AB22" s="63" t="s">
        <v>7</v>
      </c>
      <c r="AC22" s="63" t="s">
        <v>7</v>
      </c>
      <c r="AD22" s="63" t="s">
        <v>7</v>
      </c>
      <c r="AE22" s="63" t="s">
        <v>7</v>
      </c>
      <c r="AF22" s="63" t="s">
        <v>7</v>
      </c>
      <c r="AG22" s="63" t="s">
        <v>7</v>
      </c>
      <c r="AH22" s="63" t="s">
        <v>7</v>
      </c>
      <c r="AI22" s="63" t="s">
        <v>7</v>
      </c>
      <c r="AJ22" s="63" t="s">
        <v>7</v>
      </c>
      <c r="AK22" s="63" t="s">
        <v>7</v>
      </c>
      <c r="AL22" s="96" t="s">
        <v>252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s="102" cm="1">
        <f t="array" ref="AQ22">ROUND(PQ2nits((20*$AO22)/(2055+31*65)),3)</f>
        <v>0.20399999999999999</v>
      </c>
    </row>
    <row r="23" spans="2:54" x14ac:dyDescent="0.3">
      <c r="B23" s="52" t="s">
        <v>172</v>
      </c>
      <c r="C23" s="91" t="str">
        <f t="shared" si="2"/>
        <v>:1074600014161F2021223C3D3E5D5E5F60616263</v>
      </c>
      <c r="D23" s="39"/>
      <c r="E23" s="39"/>
      <c r="F23" s="39"/>
      <c r="G23" s="39" t="str" cm="1">
        <f t="array" ref="G23">IntelHexChecksum(RIGHT(C23,40))</f>
        <v>19</v>
      </c>
      <c r="H23" s="39"/>
      <c r="I23" s="39"/>
      <c r="J23" s="44"/>
      <c r="V23" s="63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s="102" cm="1">
        <f t="array" ref="AQ23">ROUND(PQ2nits((20*$AO23)/(2055+31*65)),3)</f>
        <v>0.23599999999999999</v>
      </c>
    </row>
    <row r="24" spans="2:54" x14ac:dyDescent="0.3">
      <c r="B24" s="52" t="s">
        <v>173</v>
      </c>
      <c r="C24" s="91" t="str">
        <f t="shared" si="2"/>
        <v>:107470006465662F097F071507505706003D07C0</v>
      </c>
      <c r="D24" s="39"/>
      <c r="E24" s="39"/>
      <c r="F24" s="39"/>
      <c r="G24" s="39" t="str" cm="1">
        <f t="array" ref="G24">IntelHexChecksum(RIGHT(C24,40))</f>
        <v>52</v>
      </c>
      <c r="H24" s="39"/>
      <c r="I24" s="39"/>
      <c r="J24" s="44"/>
      <c r="Y24" s="63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s="102" cm="1">
        <f t="array" ref="AQ24">ROUND(PQ2nits((20*$AO24)/(2055+31*65)),3)</f>
        <v>0.27100000000000002</v>
      </c>
    </row>
    <row r="25" spans="2:54" x14ac:dyDescent="0.3">
      <c r="B25" s="52" t="s">
        <v>174</v>
      </c>
      <c r="C25" s="91" t="str">
        <f t="shared" si="2"/>
        <v>:107480005F7E0183010000E200FF72030C001000</v>
      </c>
      <c r="D25" s="39"/>
      <c r="E25" s="39"/>
      <c r="F25" s="39"/>
      <c r="G25" s="39" t="str" cm="1">
        <f t="array" ref="G25">IntelHexChecksum(RIGHT(C25,40))</f>
        <v>28</v>
      </c>
      <c r="H25" s="39"/>
      <c r="I25" s="39"/>
      <c r="J25" s="44"/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s="102" cm="1">
        <f t="array" ref="AQ25">ROUND(PQ2nits((20*$AO25)/(2055+31*65)),3)</f>
        <v>0.31</v>
      </c>
    </row>
    <row r="26" spans="2:54" x14ac:dyDescent="0.3">
      <c r="B26" s="52" t="s">
        <v>175</v>
      </c>
      <c r="C26" s="91" t="str">
        <f t="shared" si="2"/>
        <v>:10749000787820C084010203040143000067D85D</v>
      </c>
      <c r="D26" s="39"/>
      <c r="E26" s="39"/>
      <c r="F26" s="39"/>
      <c r="G26" s="39" t="str" cm="1">
        <f t="array" ref="G26">IntelHexChecksum(RIGHT(C26,40))</f>
        <v>AE</v>
      </c>
      <c r="H26" s="39"/>
      <c r="I26" s="39"/>
      <c r="J26" s="44"/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s="102" cm="1">
        <f t="array" ref="AQ26">ROUND(PQ2nits((20*$AO26)/(2055+31*65)),3)</f>
        <v>0.35299999999999998</v>
      </c>
    </row>
    <row r="27" spans="2:54" x14ac:dyDescent="0.3">
      <c r="B27" s="52" t="s">
        <v>5</v>
      </c>
      <c r="C27" s="91" t="str">
        <f t="shared" si="2"/>
        <v>:1074A000C401788007E305DF01E50F00006000E6</v>
      </c>
      <c r="D27" s="39"/>
      <c r="E27" s="39"/>
      <c r="F27" s="39"/>
      <c r="G27" s="39" t="str" cm="1">
        <f t="array" ref="G27">IntelHexChecksum(RIGHT(C27,40))</f>
        <v>16</v>
      </c>
      <c r="H27" s="39"/>
      <c r="I27" s="39"/>
      <c r="J27" s="44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s="102" cm="1">
        <f t="array" ref="AQ27">ROUND(PQ2nits((20*$AO27)/(2055+31*65)),3)</f>
        <v>0.39900000000000002</v>
      </c>
    </row>
    <row r="28" spans="2:54" x14ac:dyDescent="0.3">
      <c r="B28" s="52" t="s">
        <v>176</v>
      </c>
      <c r="C28" s="91" t="str">
        <f t="shared" si="2"/>
        <v>:1074B000060F01000000EB0146D0004507495798</v>
      </c>
      <c r="D28" s="39"/>
      <c r="E28" s="39"/>
      <c r="F28" s="39"/>
      <c r="G28" s="39" t="str" cm="1">
        <f t="array" ref="G28">IntelHexChecksum(RIGHT(C28,40))</f>
        <v>30</v>
      </c>
      <c r="H28" s="39"/>
      <c r="I28" s="39"/>
      <c r="J28" s="44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s="102" cm="1">
        <f t="array" ref="AQ28">ROUND(PQ2nits((20*$AO28)/(2055+31*65)),3)</f>
        <v>0.45</v>
      </c>
    </row>
    <row r="29" spans="2:54" x14ac:dyDescent="0.3">
      <c r="B29" s="52" t="s">
        <v>177</v>
      </c>
      <c r="C29" s="91" t="str">
        <f t="shared" si="2"/>
        <v>:1074C000A9530000000000000000000000000000</v>
      </c>
      <c r="D29" s="39"/>
      <c r="E29" s="39"/>
      <c r="F29" s="39"/>
      <c r="G29" s="39" t="str" cm="1">
        <f t="array" ref="G29">IntelHexChecksum(RIGHT(C29,40))</f>
        <v>C0</v>
      </c>
      <c r="H29" s="39"/>
      <c r="I29" s="39"/>
      <c r="J29" s="44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s="102" cm="1">
        <f t="array" ref="AQ29">ROUND(PQ2nits((20*$AO29)/(2055+31*65)),3)</f>
        <v>0.50600000000000001</v>
      </c>
    </row>
    <row r="30" spans="2:54" ht="15" thickBot="1" x14ac:dyDescent="0.35">
      <c r="B30" s="94" t="s">
        <v>178</v>
      </c>
      <c r="C30" s="95" t="str">
        <f>_xlfn.CONCAT(":10",RIGHT(B30,4),"00",AK22:AL22,"00FFFFFFFFFFFF00371801000100")</f>
        <v>:1074D000004700FFFFFFFFFFFF00371801000100</v>
      </c>
      <c r="D30" s="47"/>
      <c r="E30" s="47"/>
      <c r="F30" s="47"/>
      <c r="G30" s="47" t="str" cm="1">
        <f t="array" ref="G30">IntelHexChecksum(RIGHT(C30,40))</f>
        <v>1A</v>
      </c>
      <c r="H30" s="47"/>
      <c r="I30" s="47"/>
      <c r="J30" s="48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s="102" cm="1">
        <f t="array" ref="AQ30">ROUND(PQ2nits((20*$AO30)/(2055+31*65)),3)</f>
        <v>0.56599999999999995</v>
      </c>
    </row>
    <row r="31" spans="2:54" x14ac:dyDescent="0.3">
      <c r="B31" s="92"/>
      <c r="C31" s="93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s="102" cm="1">
        <f t="array" ref="AQ31">ROUND(PQ2nits((20*$AO31)/(2055+31*65)),3)</f>
        <v>0.63100000000000001</v>
      </c>
    </row>
    <row r="32" spans="2:54" x14ac:dyDescent="0.3">
      <c r="B32" s="92"/>
      <c r="C32" s="93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s="102" cm="1">
        <f t="array" ref="AQ32">ROUND(PQ2nits((20*$AO32)/(2055+31*65)),3)</f>
        <v>0.70199999999999996</v>
      </c>
    </row>
    <row r="33" spans="2:54" x14ac:dyDescent="0.3">
      <c r="B33" s="92"/>
      <c r="C33" s="93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s="102" cm="1">
        <f t="array" ref="AQ33">ROUND(PQ2nits((20*$AO33)/(2055+31*65)),3)</f>
        <v>0.77900000000000003</v>
      </c>
    </row>
    <row r="34" spans="2:54" x14ac:dyDescent="0.3">
      <c r="B34" s="92"/>
      <c r="C34" s="93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s="102" cm="1">
        <f t="array" ref="AQ34">ROUND(PQ2nits((20*$AO34)/(2055+31*65)),3)</f>
        <v>0.86199999999999999</v>
      </c>
    </row>
    <row r="35" spans="2:54" x14ac:dyDescent="0.3">
      <c r="B35" s="92"/>
      <c r="C35" s="93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s="102" cm="1">
        <f t="array" ref="AQ35">ROUND(PQ2nits((20*$AO35)/(2055+31*65)),3)</f>
        <v>0.95099999999999996</v>
      </c>
    </row>
    <row r="36" spans="2:54" x14ac:dyDescent="0.3">
      <c r="B36" s="92"/>
      <c r="C36" s="93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s="102" cm="1">
        <f t="array" ref="AQ36">ROUND(PQ2nits((20*$AO36)/(2055+31*65)),3)</f>
        <v>1.048</v>
      </c>
    </row>
    <row r="37" spans="2:54" x14ac:dyDescent="0.3">
      <c r="B37" s="92"/>
      <c r="C37" s="93"/>
    </row>
    <row r="38" spans="2:54" x14ac:dyDescent="0.3">
      <c r="B38" s="92"/>
      <c r="C38" s="93"/>
    </row>
    <row r="39" spans="2:54" x14ac:dyDescent="0.3">
      <c r="B39" s="92"/>
      <c r="C39" s="93"/>
    </row>
    <row r="40" spans="2:54" x14ac:dyDescent="0.3">
      <c r="W40" s="63"/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</row>
    <row r="41" spans="2:54" x14ac:dyDescent="0.3">
      <c r="W41" s="63"/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</row>
    <row r="42" spans="2:54" x14ac:dyDescent="0.3">
      <c r="W42" s="63"/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</row>
    <row r="43" spans="2:54" x14ac:dyDescent="0.3">
      <c r="W43" s="63"/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</row>
    <row r="44" spans="2:54" x14ac:dyDescent="0.3"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</row>
    <row r="45" spans="2:54" x14ac:dyDescent="0.3">
      <c r="W45" s="63"/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</row>
    <row r="46" spans="2:54" x14ac:dyDescent="0.3">
      <c r="W46" s="63"/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</row>
    <row r="47" spans="2:54" x14ac:dyDescent="0.3"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</row>
    <row r="48" spans="2:54" x14ac:dyDescent="0.3"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</row>
    <row r="49" spans="23:39" x14ac:dyDescent="0.3"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</row>
    <row r="50" spans="23:39" x14ac:dyDescent="0.3"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</row>
    <row r="51" spans="23:39" x14ac:dyDescent="0.3"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</row>
    <row r="52" spans="23:39" x14ac:dyDescent="0.3"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</row>
    <row r="53" spans="23:39" x14ac:dyDescent="0.3"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</row>
    <row r="54" spans="23:39" x14ac:dyDescent="0.3"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27" priority="4">
      <formula>$E$7="Not Supported"</formula>
    </cfRule>
  </conditionalFormatting>
  <conditionalFormatting sqref="N7">
    <cfRule type="expression" dxfId="26" priority="3">
      <formula>$P$7="Supported"</formula>
    </cfRule>
  </conditionalFormatting>
  <conditionalFormatting sqref="P7">
    <cfRule type="expression" dxfId="25" priority="2">
      <formula>$N$7="Supported"</formula>
    </cfRule>
  </conditionalFormatting>
  <conditionalFormatting sqref="N7 P7">
    <cfRule type="expression" dxfId="24" priority="1" stopIfTrue="1">
      <formula>IF(AND($N$7="Supported",$P$7="Supported"),TRUE,FALSE)</formula>
    </cfRule>
  </conditionalFormatting>
  <dataValidations count="6">
    <dataValidation type="list" allowBlank="1" showInputMessage="1" showErrorMessage="1" sqref="E7:F7 H7 N7 P7" xr:uid="{184DEF00-0B50-4189-A274-9EE310804A6E}">
      <formula1>"Supported, Not Supported"</formula1>
    </dataValidation>
    <dataValidation type="list" allowBlank="1" showInputMessage="1" showErrorMessage="1" sqref="L7" xr:uid="{72D05D52-C540-4E17-86E2-57CE35D6D928}">
      <formula1>$AU$5:$AU$8</formula1>
    </dataValidation>
    <dataValidation type="list" allowBlank="1" showInputMessage="1" showErrorMessage="1" sqref="I3" xr:uid="{4A0BCFCA-FA42-4DD1-A979-3328E0204F88}">
      <formula1>$AU$15:$AU$17</formula1>
    </dataValidation>
    <dataValidation type="list" allowBlank="1" showInputMessage="1" showErrorMessage="1" sqref="I7" xr:uid="{11B595A4-ACDF-43CC-AC68-6961F3A10749}">
      <formula1>$AR$5:$AR$9</formula1>
    </dataValidation>
    <dataValidation type="list" allowBlank="1" showInputMessage="1" showErrorMessage="1" sqref="J7" xr:uid="{B731E65F-ECC7-480F-B5F3-CECD8BC5A7FE}">
      <formula1>$AN$5:$AN$36</formula1>
    </dataValidation>
    <dataValidation type="list" allowBlank="1" showInputMessage="1" showErrorMessage="1" sqref="G7" xr:uid="{60FA8F33-3ED0-46FE-BEBD-AC1CE83C52E4}">
      <formula1>$AQ$5:$AQ$36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586740</xdr:colOff>
                    <xdr:row>10</xdr:row>
                    <xdr:rowOff>106680</xdr:rowOff>
                  </from>
                  <to>
                    <xdr:col>13</xdr:col>
                    <xdr:colOff>350520</xdr:colOff>
                    <xdr:row>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777240</xdr:colOff>
                    <xdr:row>9</xdr:row>
                    <xdr:rowOff>7620</xdr:rowOff>
                  </from>
                  <to>
                    <xdr:col>2</xdr:col>
                    <xdr:colOff>15240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777240</xdr:colOff>
                    <xdr:row>10</xdr:row>
                    <xdr:rowOff>0</xdr:rowOff>
                  </from>
                  <to>
                    <xdr:col>2</xdr:col>
                    <xdr:colOff>15240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7E719-AFE0-4320-B5AF-C3D8C103C7D4}">
  <sheetPr codeName="Sheet8"/>
  <dimension ref="B2:BC54"/>
  <sheetViews>
    <sheetView zoomScale="90" zoomScaleNormal="90" workbookViewId="0">
      <selection activeCell="L25" sqref="L25"/>
    </sheetView>
  </sheetViews>
  <sheetFormatPr defaultRowHeight="14.4" x14ac:dyDescent="0.3"/>
  <cols>
    <col min="2" max="2" width="14.109375" customWidth="1"/>
    <col min="3" max="3" width="7.44140625" customWidth="1"/>
    <col min="4" max="4" width="11" customWidth="1"/>
    <col min="5" max="5" width="12.77734375" customWidth="1"/>
    <col min="6" max="6" width="15.33203125" customWidth="1"/>
    <col min="7" max="7" width="8.88671875" customWidth="1"/>
    <col min="8" max="8" width="10.6640625" customWidth="1"/>
    <col min="9" max="9" width="10" customWidth="1"/>
    <col min="10" max="10" width="12.6640625" customWidth="1"/>
    <col min="11" max="11" width="9.21875" customWidth="1"/>
    <col min="12" max="12" width="16.21875" customWidth="1"/>
    <col min="13" max="13" width="10" customWidth="1"/>
    <col min="14" max="14" width="13.21875" customWidth="1"/>
    <col min="15" max="15" width="8.44140625" customWidth="1"/>
    <col min="16" max="16" width="12.88671875" customWidth="1"/>
    <col min="17" max="20" width="7.44140625" customWidth="1"/>
    <col min="21" max="21" width="12.5546875" customWidth="1"/>
    <col min="22" max="22" width="7.44140625" customWidth="1"/>
    <col min="23" max="38" width="4.33203125" customWidth="1"/>
    <col min="47" max="47" width="24.5546875" customWidth="1"/>
  </cols>
  <sheetData>
    <row r="2" spans="2:54" ht="15" thickBot="1" x14ac:dyDescent="0.35"/>
    <row r="3" spans="2:54" ht="15" thickBot="1" x14ac:dyDescent="0.35">
      <c r="H3" s="35" t="s">
        <v>31</v>
      </c>
      <c r="I3" s="37" t="s">
        <v>44</v>
      </c>
      <c r="W3" s="65" t="s">
        <v>163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61" t="s">
        <v>66</v>
      </c>
      <c r="C5" s="106" t="str">
        <f>DEC2HEX(_xlfn.BITLSHIFT(BIN2DEC(C8),5)+_xlfn.BITLSHIFT(BIN2DEC(D8),2)+_xlfn.BITLSHIFT(BIN2DEC(E8),1)+BIN2DEC(F8))</f>
        <v>45</v>
      </c>
      <c r="D5" s="106"/>
      <c r="E5" s="106"/>
      <c r="F5" s="107"/>
      <c r="G5" s="108" t="str">
        <f>DEC2HEX(_xlfn.BITLSHIFT(BIN2DEC(G8),3)+_xlfn.BITLSHIFT(BIN2DEC(H8),2)+BIN2DEC(I8),2)</f>
        <v>03</v>
      </c>
      <c r="H5" s="104"/>
      <c r="I5" s="105"/>
      <c r="J5" s="108" t="str">
        <f>DEC2HEX(_xlfn.BITLSHIFT(BIN2DEC(J8),3)+_xlfn.BITLSHIFT(BIN2DEC(K8),1)+BIN2DEC(L8),2)</f>
        <v>A8</v>
      </c>
      <c r="K5" s="104"/>
      <c r="L5" s="105"/>
      <c r="M5" s="104" t="str">
        <f>BIN2HEX(_xlfn.CONCAT(M8,N8),2)</f>
        <v>86</v>
      </c>
      <c r="N5" s="105"/>
      <c r="O5" s="104" t="str">
        <f>BIN2HEX(_xlfn.CONCAT(O8,P8),2)</f>
        <v>60</v>
      </c>
      <c r="P5" s="105"/>
      <c r="Q5" s="104" t="str">
        <f>BIN2HEX(_xlfn.CONCAT(Q8,R8),2)</f>
        <v>76</v>
      </c>
      <c r="R5" s="105"/>
      <c r="S5" s="104" t="str">
        <f>BIN2HEX(_xlfn.CONCAT(S8,T8),2)</f>
        <v>8F</v>
      </c>
      <c r="T5" s="105"/>
      <c r="W5" s="84">
        <v>0</v>
      </c>
      <c r="X5" s="85">
        <v>1</v>
      </c>
      <c r="Y5" s="85">
        <v>2</v>
      </c>
      <c r="Z5" s="85">
        <v>3</v>
      </c>
      <c r="AA5" s="85">
        <v>4</v>
      </c>
      <c r="AB5" s="85">
        <v>5</v>
      </c>
      <c r="AC5" s="85">
        <v>6</v>
      </c>
      <c r="AD5" s="85">
        <v>7</v>
      </c>
      <c r="AE5" s="85">
        <v>8</v>
      </c>
      <c r="AF5" s="85">
        <v>9</v>
      </c>
      <c r="AG5" s="85">
        <v>10</v>
      </c>
      <c r="AH5" s="85">
        <v>11</v>
      </c>
      <c r="AI5" s="85">
        <v>12</v>
      </c>
      <c r="AJ5" s="85">
        <v>13</v>
      </c>
      <c r="AK5" s="85">
        <v>14</v>
      </c>
      <c r="AL5" s="86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s="102" cm="1">
        <f t="array" ref="AQ5">ROUND(PQ2nits((20*$AO5)/(2055+31*65)),3)</f>
        <v>0</v>
      </c>
      <c r="AR5" s="12" t="s">
        <v>22</v>
      </c>
      <c r="AS5" s="11" t="s">
        <v>7</v>
      </c>
      <c r="AU5" s="13" t="s">
        <v>35</v>
      </c>
      <c r="AV5" s="6" t="s">
        <v>7</v>
      </c>
    </row>
    <row r="6" spans="2:54" ht="30.75" customHeight="1" x14ac:dyDescent="0.3">
      <c r="B6" s="60" t="s">
        <v>67</v>
      </c>
      <c r="C6" s="56" t="s">
        <v>10</v>
      </c>
      <c r="D6" s="30" t="s">
        <v>12</v>
      </c>
      <c r="E6" s="31" t="s">
        <v>17</v>
      </c>
      <c r="F6" s="32" t="s">
        <v>8</v>
      </c>
      <c r="G6" s="33" t="s">
        <v>60</v>
      </c>
      <c r="H6" s="31" t="s">
        <v>40</v>
      </c>
      <c r="I6" s="34" t="s">
        <v>59</v>
      </c>
      <c r="J6" s="33" t="s">
        <v>61</v>
      </c>
      <c r="K6" s="30" t="s">
        <v>11</v>
      </c>
      <c r="L6" s="32" t="s">
        <v>37</v>
      </c>
      <c r="M6" s="30" t="s">
        <v>58</v>
      </c>
      <c r="N6" s="32" t="s">
        <v>24</v>
      </c>
      <c r="O6" s="30" t="s">
        <v>57</v>
      </c>
      <c r="P6" s="32" t="s">
        <v>23</v>
      </c>
      <c r="Q6" s="30" t="s">
        <v>56</v>
      </c>
      <c r="R6" s="32" t="s">
        <v>14</v>
      </c>
      <c r="S6" s="30" t="s">
        <v>55</v>
      </c>
      <c r="T6" s="32" t="s">
        <v>13</v>
      </c>
      <c r="V6" s="65" t="s">
        <v>68</v>
      </c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s="102" cm="1">
        <f t="array" ref="AQ6">ROUND(PQ2nits((20*$AO6)/(2055+31*65)),3)</f>
        <v>1E-3</v>
      </c>
      <c r="AR6" s="12" t="s">
        <v>21</v>
      </c>
      <c r="AS6" s="11" t="s">
        <v>6</v>
      </c>
      <c r="AU6" s="13" t="s">
        <v>36</v>
      </c>
      <c r="AV6" s="6" t="s">
        <v>6</v>
      </c>
    </row>
    <row r="7" spans="2:54" x14ac:dyDescent="0.3">
      <c r="B7" s="59"/>
      <c r="C7" s="57">
        <v>2</v>
      </c>
      <c r="D7" s="10" t="s">
        <v>20</v>
      </c>
      <c r="E7" s="14" t="s">
        <v>19</v>
      </c>
      <c r="F7" s="14" t="s">
        <v>18</v>
      </c>
      <c r="G7" s="103">
        <v>0</v>
      </c>
      <c r="H7" s="14" t="s">
        <v>19</v>
      </c>
      <c r="I7" s="15" t="s">
        <v>27</v>
      </c>
      <c r="J7" s="26">
        <v>2250</v>
      </c>
      <c r="K7" s="27">
        <v>0</v>
      </c>
      <c r="L7" s="16" t="s">
        <v>35</v>
      </c>
      <c r="M7" s="23">
        <f>INDEX(AX15:AX17,MATCH(I3,AU15:AU17,0))</f>
        <v>0.26500000000000001</v>
      </c>
      <c r="N7" s="36" t="s">
        <v>19</v>
      </c>
      <c r="O7" s="24">
        <f>INDEX(AY15:AY17,MATCH($I$3,$AU$15:$AU$17,0))</f>
        <v>0.69</v>
      </c>
      <c r="P7" s="36" t="s">
        <v>19</v>
      </c>
      <c r="Q7" s="24">
        <f>INDEX(AV15:AV17,MATCH($I$3,$AU$15:$AU$17,0))</f>
        <v>0.68</v>
      </c>
      <c r="R7" s="25">
        <f>INDEX(AZ15:AZ17,MATCH($I$3,$AU$15:$AU$17,0))</f>
        <v>0.15</v>
      </c>
      <c r="S7" s="23">
        <f>INDEX(AW15:AW17,MATCH($I$3,$AU$15:$AU$17,0))</f>
        <v>0.32</v>
      </c>
      <c r="T7" s="25">
        <f>INDEX(BA15:BA17,MATCH($I$3,$AU$15:$AU$17,0))</f>
        <v>0.06</v>
      </c>
      <c r="V7" s="63"/>
      <c r="W7" s="63" t="s">
        <v>7</v>
      </c>
      <c r="X7" s="63" t="s">
        <v>127</v>
      </c>
      <c r="Y7" s="63" t="s">
        <v>127</v>
      </c>
      <c r="Z7" s="63" t="s">
        <v>127</v>
      </c>
      <c r="AA7" s="63" t="s">
        <v>127</v>
      </c>
      <c r="AB7" s="63" t="s">
        <v>127</v>
      </c>
      <c r="AC7" s="63" t="s">
        <v>127</v>
      </c>
      <c r="AD7" s="63" t="s">
        <v>7</v>
      </c>
      <c r="AE7" s="63" t="s">
        <v>135</v>
      </c>
      <c r="AF7" s="63" t="s">
        <v>129</v>
      </c>
      <c r="AG7" s="63" t="s">
        <v>98</v>
      </c>
      <c r="AH7" s="63" t="s">
        <v>182</v>
      </c>
      <c r="AI7" s="63" t="s">
        <v>6</v>
      </c>
      <c r="AJ7" s="63" t="s">
        <v>6</v>
      </c>
      <c r="AK7" s="63" t="s">
        <v>6</v>
      </c>
      <c r="AL7" s="63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s="102" cm="1">
        <f t="array" ref="AQ7">ROUND(PQ2nits((20*$AO7)/(2055+31*65)),3)</f>
        <v>2E-3</v>
      </c>
      <c r="AR7" s="12" t="s">
        <v>26</v>
      </c>
      <c r="AS7" s="11" t="s">
        <v>28</v>
      </c>
      <c r="AU7" s="13" t="s">
        <v>38</v>
      </c>
      <c r="AV7" s="6" t="s">
        <v>28</v>
      </c>
    </row>
    <row r="8" spans="2:54" s="7" customFormat="1" ht="15" thickBot="1" x14ac:dyDescent="0.35">
      <c r="B8" s="62"/>
      <c r="C8" s="58" t="s">
        <v>15</v>
      </c>
      <c r="D8" s="17" t="s">
        <v>16</v>
      </c>
      <c r="E8" s="18">
        <f>IF(EXACT(E7,"Supported"),1,0)</f>
        <v>0</v>
      </c>
      <c r="F8" s="18">
        <f>IF(EXACT(F7,"Supported"),1,0)</f>
        <v>1</v>
      </c>
      <c r="G8" s="20" t="str">
        <f>DEC2BIN(_xlfn.XLOOKUP(G7,AQ5:AQ36,AO5:AO36),5)</f>
        <v>00000</v>
      </c>
      <c r="H8" s="18">
        <f>IF(EXACT(H7,"Supported"),1,0)</f>
        <v>0</v>
      </c>
      <c r="I8" s="19" t="str">
        <f>IF(EXACT(E7,"Not Supported"),"11",INDEX(AS5:AS8,MATCH(I7,AR5:AR8,0)))</f>
        <v>11</v>
      </c>
      <c r="J8" s="20" t="str">
        <f>DEC2BIN(VLOOKUP(J7,AN5:AO36,2),5)</f>
        <v>10101</v>
      </c>
      <c r="K8" s="28">
        <v>0</v>
      </c>
      <c r="L8" s="19" t="str">
        <f>VLOOKUP(L7,AU5:AV8,2)</f>
        <v>00</v>
      </c>
      <c r="M8" s="29" t="str">
        <f>DEC2BIN(M7/( 0.49609375/127),7)</f>
        <v>1000011</v>
      </c>
      <c r="N8" s="21">
        <f>IF(AND(EXACT(N7,"Supported"),EXACT(P7,"Not Supported")),1,0)</f>
        <v>0</v>
      </c>
      <c r="O8" s="29" t="str">
        <f>DEC2BIN((O7-0.5)/((0.99609375-0.5)/127),7)</f>
        <v>0110000</v>
      </c>
      <c r="P8" s="21">
        <f>IF(AND(EXACT(P7,"Supported"),EXACT(N7,"Not Supported")),1,0)</f>
        <v>0</v>
      </c>
      <c r="Q8" s="20" t="str">
        <f>DEC2BIN((Q7-0.625)/((0.74609375-0.625)/31),5)</f>
        <v>01110</v>
      </c>
      <c r="R8" s="19" t="str">
        <f>DEC2BIN((R7-0.125)/((0.15234375-0.125)/7),3)</f>
        <v>110</v>
      </c>
      <c r="S8" s="20" t="str">
        <f>DEC2BIN((S7-0.25)/((0.37109375-0.25)/31),5)</f>
        <v>10001</v>
      </c>
      <c r="T8" s="19" t="str">
        <f>DEC2BIN((T7-0.03125)/((0.05859375-0.03125)/7),3)</f>
        <v>111</v>
      </c>
      <c r="V8" s="63"/>
      <c r="W8" s="63" t="s">
        <v>72</v>
      </c>
      <c r="X8" s="63" t="s">
        <v>72</v>
      </c>
      <c r="Y8" s="63" t="s">
        <v>6</v>
      </c>
      <c r="Z8" s="63" t="s">
        <v>89</v>
      </c>
      <c r="AA8" s="63" t="s">
        <v>112</v>
      </c>
      <c r="AB8" s="63" t="s">
        <v>7</v>
      </c>
      <c r="AC8" s="63" t="s">
        <v>7</v>
      </c>
      <c r="AD8" s="63" t="s">
        <v>113</v>
      </c>
      <c r="AE8" s="63" t="s">
        <v>184</v>
      </c>
      <c r="AF8" s="63" t="s">
        <v>185</v>
      </c>
      <c r="AG8" s="63" t="s">
        <v>106</v>
      </c>
      <c r="AH8" s="63" t="s">
        <v>129</v>
      </c>
      <c r="AI8" s="63" t="s">
        <v>191</v>
      </c>
      <c r="AJ8" s="63" t="s">
        <v>135</v>
      </c>
      <c r="AK8" s="63" t="s">
        <v>192</v>
      </c>
      <c r="AL8" s="63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s="102" cm="1">
        <f t="array" ref="AQ8">ROUND(PQ2nits((20*$AO8)/(2055+31*65)),3)</f>
        <v>5.0000000000000001E-3</v>
      </c>
      <c r="AR8" s="11" t="s">
        <v>27</v>
      </c>
      <c r="AS8" s="11" t="s">
        <v>29</v>
      </c>
      <c r="AU8" s="13" t="s">
        <v>39</v>
      </c>
      <c r="AV8" s="8" t="s">
        <v>29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3"/>
      <c r="W9" s="63" t="s">
        <v>74</v>
      </c>
      <c r="X9" s="63" t="s">
        <v>106</v>
      </c>
      <c r="Y9" s="63" t="s">
        <v>191</v>
      </c>
      <c r="Z9" s="63" t="s">
        <v>102</v>
      </c>
      <c r="AA9" s="63" t="s">
        <v>7</v>
      </c>
      <c r="AB9" s="63" t="s">
        <v>7</v>
      </c>
      <c r="AC9" s="63" t="s">
        <v>6</v>
      </c>
      <c r="AD9" s="63" t="s">
        <v>6</v>
      </c>
      <c r="AE9" s="63" t="s">
        <v>6</v>
      </c>
      <c r="AF9" s="63" t="s">
        <v>6</v>
      </c>
      <c r="AG9" s="63" t="s">
        <v>6</v>
      </c>
      <c r="AH9" s="63" t="s">
        <v>6</v>
      </c>
      <c r="AI9" s="63" t="s">
        <v>6</v>
      </c>
      <c r="AJ9" s="63" t="s">
        <v>6</v>
      </c>
      <c r="AK9" s="63" t="s">
        <v>6</v>
      </c>
      <c r="AL9" s="63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s="102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9" t="s">
        <v>63</v>
      </c>
      <c r="C10" s="40" t="s">
        <v>65</v>
      </c>
      <c r="D10" s="41"/>
      <c r="E10" s="41"/>
      <c r="F10" s="41"/>
      <c r="G10" s="41"/>
      <c r="H10" s="41"/>
      <c r="I10" s="41"/>
      <c r="J10" s="42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3"/>
      <c r="W10" s="63" t="s">
        <v>6</v>
      </c>
      <c r="X10" s="63" t="s">
        <v>6</v>
      </c>
      <c r="Y10" s="63" t="s">
        <v>6</v>
      </c>
      <c r="Z10" s="63" t="s">
        <v>6</v>
      </c>
      <c r="AA10" s="63" t="s">
        <v>6</v>
      </c>
      <c r="AB10" s="63" t="s">
        <v>6</v>
      </c>
      <c r="AC10" s="63" t="s">
        <v>140</v>
      </c>
      <c r="AD10" s="63" t="s">
        <v>144</v>
      </c>
      <c r="AE10" s="63" t="s">
        <v>7</v>
      </c>
      <c r="AF10" s="63" t="s">
        <v>145</v>
      </c>
      <c r="AG10" s="63" t="s">
        <v>71</v>
      </c>
      <c r="AH10" s="63" t="s">
        <v>146</v>
      </c>
      <c r="AI10" s="63" t="s">
        <v>147</v>
      </c>
      <c r="AJ10" s="63" t="s">
        <v>112</v>
      </c>
      <c r="AK10" s="63" t="s">
        <v>136</v>
      </c>
      <c r="AL10" s="63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s="102" cm="1">
        <f t="array" ref="AQ10">ROUND(PQ2nits((20*$AO10)/(2055+31*65)),3)</f>
        <v>1.2999999999999999E-2</v>
      </c>
      <c r="AR10" s="5"/>
    </row>
    <row r="11" spans="2:54" ht="15" thickBot="1" x14ac:dyDescent="0.35">
      <c r="B11" s="50" t="s">
        <v>64</v>
      </c>
      <c r="C11" s="38" t="s">
        <v>262</v>
      </c>
      <c r="D11" s="9"/>
      <c r="E11" s="9"/>
      <c r="F11" s="9"/>
      <c r="G11" s="9"/>
      <c r="H11" s="9"/>
      <c r="I11" s="9"/>
      <c r="J11" s="43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3"/>
      <c r="W11" s="63" t="s">
        <v>119</v>
      </c>
      <c r="X11" s="63" t="s">
        <v>7</v>
      </c>
      <c r="Y11" s="63" t="s">
        <v>104</v>
      </c>
      <c r="Z11" s="63" t="s">
        <v>193</v>
      </c>
      <c r="AA11" s="63" t="s">
        <v>194</v>
      </c>
      <c r="AB11" s="63" t="s">
        <v>7</v>
      </c>
      <c r="AC11" s="63" t="s">
        <v>7</v>
      </c>
      <c r="AD11" s="63" t="s">
        <v>77</v>
      </c>
      <c r="AE11" s="63" t="s">
        <v>88</v>
      </c>
      <c r="AF11" s="63" t="s">
        <v>150</v>
      </c>
      <c r="AG11" s="63" t="s">
        <v>112</v>
      </c>
      <c r="AH11" s="63" t="s">
        <v>126</v>
      </c>
      <c r="AI11" s="63" t="s">
        <v>151</v>
      </c>
      <c r="AJ11" s="63" t="s">
        <v>111</v>
      </c>
      <c r="AK11" s="63" t="s">
        <v>121</v>
      </c>
      <c r="AL11" s="63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s="102" cm="1">
        <f t="array" ref="AQ11">ROUND(PQ2nits((20*$AO11)/(2055+31*65)),3)</f>
        <v>1.9E-2</v>
      </c>
      <c r="AR11" s="5"/>
    </row>
    <row r="12" spans="2:54" x14ac:dyDescent="0.3">
      <c r="B12" s="53" t="s">
        <v>0</v>
      </c>
      <c r="C12" s="54" t="str">
        <f>_xlfn.CONCAT(B5:T5)</f>
        <v>EB0146D0004503A88660768F</v>
      </c>
      <c r="D12" s="54"/>
      <c r="E12" s="54"/>
      <c r="F12" s="54"/>
      <c r="G12" s="54"/>
      <c r="H12" s="54"/>
      <c r="I12" s="54"/>
      <c r="J12" s="55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3"/>
      <c r="W12" s="63" t="s">
        <v>148</v>
      </c>
      <c r="X12" s="63" t="s">
        <v>152</v>
      </c>
      <c r="Y12" s="63" t="s">
        <v>142</v>
      </c>
      <c r="Z12" s="63" t="s">
        <v>7</v>
      </c>
      <c r="AA12" s="63" t="s">
        <v>104</v>
      </c>
      <c r="AB12" s="63" t="s">
        <v>193</v>
      </c>
      <c r="AC12" s="63" t="s">
        <v>194</v>
      </c>
      <c r="AD12" s="63" t="s">
        <v>7</v>
      </c>
      <c r="AE12" s="63" t="s">
        <v>7</v>
      </c>
      <c r="AF12" s="63" t="s">
        <v>77</v>
      </c>
      <c r="AG12" s="63" t="s">
        <v>7</v>
      </c>
      <c r="AH12" s="63" t="s">
        <v>7</v>
      </c>
      <c r="AI12" s="63" t="s">
        <v>7</v>
      </c>
      <c r="AJ12" s="63" t="s">
        <v>158</v>
      </c>
      <c r="AK12" s="63" t="s">
        <v>7</v>
      </c>
      <c r="AL12" s="63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s="102" cm="1">
        <f t="array" ref="AQ12">ROUND(PQ2nits((20*$AO12)/(2055+31*65)),3)</f>
        <v>2.5999999999999999E-2</v>
      </c>
    </row>
    <row r="13" spans="2:54" x14ac:dyDescent="0.3">
      <c r="B13" s="51" t="s">
        <v>62</v>
      </c>
      <c r="C13" s="45" t="str" cm="1">
        <f t="array" ref="C13">EDIDCheckSum(C12)</f>
        <v>FD</v>
      </c>
      <c r="D13" s="39"/>
      <c r="E13" s="39"/>
      <c r="F13" s="39"/>
      <c r="G13" s="39"/>
      <c r="H13" s="39"/>
      <c r="I13" s="39"/>
      <c r="J13" s="44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3"/>
      <c r="W13" s="63" t="s">
        <v>190</v>
      </c>
      <c r="X13" s="63" t="s">
        <v>74</v>
      </c>
      <c r="Y13" s="63" t="s">
        <v>160</v>
      </c>
      <c r="Z13" s="63" t="s">
        <v>84</v>
      </c>
      <c r="AA13" s="63" t="s">
        <v>7</v>
      </c>
      <c r="AB13" s="63" t="s">
        <v>117</v>
      </c>
      <c r="AC13" s="63" t="s">
        <v>102</v>
      </c>
      <c r="AD13" s="63" t="s">
        <v>102</v>
      </c>
      <c r="AE13" s="63" t="s">
        <v>102</v>
      </c>
      <c r="AF13" s="63" t="s">
        <v>102</v>
      </c>
      <c r="AG13" s="63" t="s">
        <v>102</v>
      </c>
      <c r="AH13" s="63" t="s">
        <v>102</v>
      </c>
      <c r="AI13" s="63" t="s">
        <v>7</v>
      </c>
      <c r="AJ13" s="63" t="s">
        <v>7</v>
      </c>
      <c r="AK13" s="63" t="s">
        <v>7</v>
      </c>
      <c r="AL13" s="63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s="102" cm="1">
        <f t="array" ref="AQ13">ROUND(PQ2nits((20*$AO13)/(2055+31*65)),3)</f>
        <v>3.5000000000000003E-2</v>
      </c>
    </row>
    <row r="14" spans="2:54" x14ac:dyDescent="0.3">
      <c r="B14" s="52" t="s">
        <v>164</v>
      </c>
      <c r="C14" s="91" t="str">
        <f>_xlfn.CONCAT(":1073D0000086",_xlfn.CONCAT(W7:AJ7))</f>
        <v>:1073D000008600ffffffffffff004ca312a80101</v>
      </c>
      <c r="D14" s="39"/>
      <c r="E14" s="39"/>
      <c r="F14" s="39"/>
      <c r="G14" s="39" t="str" cm="1">
        <f t="array" ref="G14">IntelHexChecksum(RIGHT(C14,40))</f>
        <v>82</v>
      </c>
      <c r="H14" s="39"/>
      <c r="I14" s="39"/>
      <c r="J14" s="44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3"/>
      <c r="W14" s="63" t="s">
        <v>7</v>
      </c>
      <c r="X14" s="63" t="s">
        <v>142</v>
      </c>
      <c r="Y14" s="63" t="s">
        <v>106</v>
      </c>
      <c r="Z14" s="63" t="s">
        <v>90</v>
      </c>
      <c r="AA14" s="63" t="s">
        <v>156</v>
      </c>
      <c r="AB14" s="63" t="s">
        <v>186</v>
      </c>
      <c r="AC14" s="63" t="s">
        <v>102</v>
      </c>
      <c r="AD14" s="63" t="s">
        <v>106</v>
      </c>
      <c r="AE14" s="63" t="s">
        <v>187</v>
      </c>
      <c r="AF14" s="63" t="s">
        <v>117</v>
      </c>
      <c r="AG14" s="63" t="s">
        <v>102</v>
      </c>
      <c r="AH14" s="63" t="s">
        <v>102</v>
      </c>
      <c r="AI14" s="63" t="s">
        <v>102</v>
      </c>
      <c r="AJ14" s="63" t="s">
        <v>102</v>
      </c>
      <c r="AK14" s="63" t="s">
        <v>6</v>
      </c>
      <c r="AL14" s="63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s="102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52" t="s">
        <v>165</v>
      </c>
      <c r="C15" s="91" t="str">
        <f>_xlfn.CONCAT(":10",RIGHT(B15,4),"00",AK7:AL7,W8:AJ8)</f>
        <v>:1073E00001011f1f0103800000780ede50a3544c</v>
      </c>
      <c r="D15" s="39"/>
      <c r="E15" s="39"/>
      <c r="F15" s="39"/>
      <c r="G15" s="39" t="str" cm="1">
        <f t="array" ref="G15">IntelHexChecksum(RIGHT(C15,40))</f>
        <v>E2</v>
      </c>
      <c r="H15" s="39"/>
      <c r="I15" s="39"/>
      <c r="J15" s="44"/>
      <c r="V15" s="65" t="s">
        <v>69</v>
      </c>
      <c r="W15" s="63" t="s">
        <v>88</v>
      </c>
      <c r="X15" s="63" t="s">
        <v>89</v>
      </c>
      <c r="Y15" s="96" t="s">
        <v>94</v>
      </c>
      <c r="Z15" s="63" t="s">
        <v>256</v>
      </c>
      <c r="AA15" s="63" t="s">
        <v>190</v>
      </c>
      <c r="AB15" s="63" t="s">
        <v>91</v>
      </c>
      <c r="AC15" s="63" t="s">
        <v>92</v>
      </c>
      <c r="AD15" s="63" t="s">
        <v>94</v>
      </c>
      <c r="AE15" s="63" t="s">
        <v>93</v>
      </c>
      <c r="AF15" s="63" t="s">
        <v>78</v>
      </c>
      <c r="AG15" s="63" t="s">
        <v>197</v>
      </c>
      <c r="AH15" s="63" t="s">
        <v>70</v>
      </c>
      <c r="AI15" s="63" t="s">
        <v>198</v>
      </c>
      <c r="AJ15" s="63" t="s">
        <v>28</v>
      </c>
      <c r="AK15" s="63" t="s">
        <v>72</v>
      </c>
      <c r="AL15" s="63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s="102" cm="1">
        <f t="array" ref="AQ15">ROUND(PQ2nits((20*$AO15)/(2055+31*65)),3)</f>
        <v>5.8000000000000003E-2</v>
      </c>
      <c r="AU15" s="6" t="s">
        <v>42</v>
      </c>
      <c r="AV15" s="22">
        <v>0.64</v>
      </c>
      <c r="AW15" s="22">
        <v>0.33</v>
      </c>
      <c r="AX15" s="22">
        <v>0.3</v>
      </c>
      <c r="AY15" s="22">
        <v>0.6</v>
      </c>
      <c r="AZ15" s="22">
        <v>0.15</v>
      </c>
      <c r="BA15" s="22">
        <v>0.06</v>
      </c>
      <c r="BB15" t="s">
        <v>53</v>
      </c>
    </row>
    <row r="16" spans="2:54" x14ac:dyDescent="0.3">
      <c r="B16" s="52" t="s">
        <v>166</v>
      </c>
      <c r="C16" s="91" t="str">
        <f t="shared" ref="C16:C29" si="2">_xlfn.CONCAT(":10",RIGHT(B16,4),"00",AK8:AL8,W9:AJ9)</f>
        <v>:1073F00099260f50542000000101010101010101</v>
      </c>
      <c r="D16" s="39"/>
      <c r="E16" s="39"/>
      <c r="F16" s="39"/>
      <c r="G16" s="39" t="str" cm="1">
        <f t="array" ref="G16">IntelHexChecksum(RIGHT(C16,40))</f>
        <v>F3</v>
      </c>
      <c r="H16" s="39"/>
      <c r="I16" s="39"/>
      <c r="J16" s="44"/>
      <c r="V16" s="63"/>
      <c r="W16" s="63" t="s">
        <v>102</v>
      </c>
      <c r="X16" s="63" t="s">
        <v>96</v>
      </c>
      <c r="Y16" s="63" t="s">
        <v>100</v>
      </c>
      <c r="Z16" s="63" t="s">
        <v>95</v>
      </c>
      <c r="AA16" s="63" t="s">
        <v>99</v>
      </c>
      <c r="AB16" s="63" t="s">
        <v>98</v>
      </c>
      <c r="AC16" s="63" t="s">
        <v>29</v>
      </c>
      <c r="AD16" s="63" t="s">
        <v>89</v>
      </c>
      <c r="AE16" s="63" t="s">
        <v>88</v>
      </c>
      <c r="AF16" s="63" t="s">
        <v>6</v>
      </c>
      <c r="AG16" s="63" t="s">
        <v>152</v>
      </c>
      <c r="AH16" s="63" t="s">
        <v>138</v>
      </c>
      <c r="AI16" s="63" t="s">
        <v>97</v>
      </c>
      <c r="AJ16" s="63" t="s">
        <v>97</v>
      </c>
      <c r="AK16" s="63" t="s">
        <v>257</v>
      </c>
      <c r="AL16" s="63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s="102" cm="1">
        <f t="array" ref="AQ16">ROUND(PQ2nits((20*$AO16)/(2055+31*65)),3)</f>
        <v>7.1999999999999995E-2</v>
      </c>
      <c r="AU16" s="6" t="s">
        <v>43</v>
      </c>
      <c r="AV16" s="22">
        <v>0.70799999999999996</v>
      </c>
      <c r="AW16" s="22">
        <v>0.29199999999999998</v>
      </c>
      <c r="AX16" s="22">
        <v>0.17</v>
      </c>
      <c r="AY16" s="22">
        <v>0.79700000000000004</v>
      </c>
      <c r="AZ16" s="22">
        <v>0.13100000000000001</v>
      </c>
      <c r="BA16" s="22">
        <v>4.5999999999999999E-2</v>
      </c>
      <c r="BB16" t="s">
        <v>51</v>
      </c>
    </row>
    <row r="17" spans="2:54" x14ac:dyDescent="0.3">
      <c r="B17" s="52" t="s">
        <v>167</v>
      </c>
      <c r="C17" s="91" t="str">
        <f t="shared" si="2"/>
        <v>:10740000010101010101010108e80030f2705a80</v>
      </c>
      <c r="D17" s="39"/>
      <c r="E17" s="39"/>
      <c r="F17" s="39"/>
      <c r="G17" s="39" t="str" cm="1">
        <f t="array" ref="G17">IntelHexChecksum(RIGHT(C17,40))</f>
        <v>18</v>
      </c>
      <c r="H17" s="39"/>
      <c r="I17" s="39"/>
      <c r="J17" s="44"/>
      <c r="V17" s="63"/>
      <c r="W17" s="63" t="s">
        <v>97</v>
      </c>
      <c r="X17" s="63" t="s">
        <v>78</v>
      </c>
      <c r="Y17" s="63" t="s">
        <v>108</v>
      </c>
      <c r="Z17" s="63" t="s">
        <v>7</v>
      </c>
      <c r="AA17" s="63" t="s">
        <v>108</v>
      </c>
      <c r="AB17" s="63" t="s">
        <v>95</v>
      </c>
      <c r="AC17" s="63" t="s">
        <v>7</v>
      </c>
      <c r="AD17" s="63" t="s">
        <v>240</v>
      </c>
      <c r="AE17" s="63" t="s">
        <v>89</v>
      </c>
      <c r="AF17" s="63" t="s">
        <v>83</v>
      </c>
      <c r="AG17" s="63" t="s">
        <v>7</v>
      </c>
      <c r="AH17" s="63" t="s">
        <v>28</v>
      </c>
      <c r="AI17" s="63" t="s">
        <v>7</v>
      </c>
      <c r="AJ17" s="63" t="s">
        <v>200</v>
      </c>
      <c r="AK17" s="63" t="s">
        <v>84</v>
      </c>
      <c r="AL17" s="63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s="102" cm="1">
        <f t="array" ref="AQ17">ROUND(PQ2nits((20*$AO17)/(2055+31*65)),3)</f>
        <v>8.7999999999999995E-2</v>
      </c>
      <c r="AU17" s="6" t="s">
        <v>44</v>
      </c>
      <c r="AV17" s="22">
        <v>0.68</v>
      </c>
      <c r="AW17" s="22">
        <v>0.32</v>
      </c>
      <c r="AX17" s="22">
        <v>0.26500000000000001</v>
      </c>
      <c r="AY17" s="22">
        <v>0.69</v>
      </c>
      <c r="AZ17" s="22">
        <v>0.15</v>
      </c>
      <c r="BA17" s="22">
        <v>0.06</v>
      </c>
      <c r="BB17" t="s">
        <v>52</v>
      </c>
    </row>
    <row r="18" spans="2:54" x14ac:dyDescent="0.3">
      <c r="B18" s="52" t="s">
        <v>168</v>
      </c>
      <c r="C18" s="91" t="str">
        <f t="shared" si="2"/>
        <v>:10741000b0588a0040846300001e023a80187138</v>
      </c>
      <c r="D18" s="39"/>
      <c r="E18" s="39"/>
      <c r="F18" s="39"/>
      <c r="G18" s="39" t="str" cm="1">
        <f t="array" ref="G18">IntelHexChecksum(RIGHT(C18,40))</f>
        <v>18</v>
      </c>
      <c r="H18" s="39"/>
      <c r="I18" s="39"/>
      <c r="J18" s="44"/>
      <c r="V18" s="63"/>
      <c r="W18" s="63" t="s">
        <v>258</v>
      </c>
      <c r="X18" s="63" t="s">
        <v>258</v>
      </c>
      <c r="Y18" s="63" t="s">
        <v>258</v>
      </c>
      <c r="Z18" s="63" t="s">
        <v>258</v>
      </c>
      <c r="AA18" s="63" t="s">
        <v>7</v>
      </c>
      <c r="AB18" s="63" t="s">
        <v>112</v>
      </c>
      <c r="AC18" s="63" t="s">
        <v>6</v>
      </c>
      <c r="AD18" s="63" t="s">
        <v>88</v>
      </c>
      <c r="AE18" s="63" t="s">
        <v>89</v>
      </c>
      <c r="AF18" s="63" t="s">
        <v>95</v>
      </c>
      <c r="AG18" s="63" t="s">
        <v>109</v>
      </c>
      <c r="AH18" s="63" t="s">
        <v>86</v>
      </c>
      <c r="AI18" s="63" t="s">
        <v>70</v>
      </c>
      <c r="AJ18" s="63" t="s">
        <v>87</v>
      </c>
      <c r="AK18" s="63" t="s">
        <v>6</v>
      </c>
      <c r="AL18" s="63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s="102" cm="1">
        <f t="array" ref="AQ18">ROUND(PQ2nits((20*$AO18)/(2055+31*65)),3)</f>
        <v>0.106</v>
      </c>
    </row>
    <row r="19" spans="2:54" x14ac:dyDescent="0.3">
      <c r="B19" s="52" t="s">
        <v>169</v>
      </c>
      <c r="C19" s="91" t="str">
        <f t="shared" si="2"/>
        <v>:107420002d40582c450040846300001e000000fd</v>
      </c>
      <c r="D19" s="39"/>
      <c r="E19" s="39"/>
      <c r="F19" s="39"/>
      <c r="G19" s="39" t="str" cm="1">
        <f t="array" ref="G19">IntelHexChecksum(RIGHT(C19,40))</f>
        <v>E4</v>
      </c>
      <c r="H19" s="39"/>
      <c r="I19" s="39"/>
      <c r="J19" s="44"/>
      <c r="V19" s="63"/>
      <c r="W19" s="97" t="s">
        <v>112</v>
      </c>
      <c r="X19" s="97" t="s">
        <v>259</v>
      </c>
      <c r="Y19" s="97" t="s">
        <v>110</v>
      </c>
      <c r="Z19" s="97" t="s">
        <v>78</v>
      </c>
      <c r="AA19" s="97" t="s">
        <v>7</v>
      </c>
      <c r="AB19" s="97" t="s">
        <v>7</v>
      </c>
      <c r="AC19" s="97" t="s">
        <v>85</v>
      </c>
      <c r="AD19" s="97" t="s">
        <v>7</v>
      </c>
      <c r="AE19" s="97" t="s">
        <v>203</v>
      </c>
      <c r="AF19" s="97" t="s">
        <v>204</v>
      </c>
      <c r="AG19" s="97" t="s">
        <v>6</v>
      </c>
      <c r="AH19" s="97" t="s">
        <v>260</v>
      </c>
      <c r="AI19" s="97" t="s">
        <v>193</v>
      </c>
      <c r="AJ19" s="97" t="s">
        <v>196</v>
      </c>
      <c r="AK19" s="97" t="s">
        <v>6</v>
      </c>
      <c r="AL19" s="97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s="102" cm="1">
        <f t="array" ref="AQ19">ROUND(PQ2nits((20*$AO19)/(2055+31*65)),3)</f>
        <v>0.127</v>
      </c>
    </row>
    <row r="20" spans="2:54" x14ac:dyDescent="0.3">
      <c r="B20" s="52" t="s">
        <v>170</v>
      </c>
      <c r="C20" s="91" t="str">
        <f t="shared" si="2"/>
        <v>:107430000018550f873c000a2020202020200000</v>
      </c>
      <c r="D20" s="39"/>
      <c r="E20" s="39"/>
      <c r="F20" s="39"/>
      <c r="G20" s="39" t="str" cm="1">
        <f t="array" ref="G20">IntelHexChecksum(RIGHT(C20,40))</f>
        <v>43</v>
      </c>
      <c r="H20" s="39"/>
      <c r="I20" s="39"/>
      <c r="J20" s="44"/>
      <c r="V20" s="63"/>
      <c r="W20" s="97" t="s">
        <v>96</v>
      </c>
      <c r="X20" s="97" t="s">
        <v>81</v>
      </c>
      <c r="Y20" s="97" t="s">
        <v>7</v>
      </c>
      <c r="Z20" s="97" t="s">
        <v>80</v>
      </c>
      <c r="AA20" s="97" t="s">
        <v>114</v>
      </c>
      <c r="AB20" s="97" t="s">
        <v>257</v>
      </c>
      <c r="AC20" s="97" t="s">
        <v>6</v>
      </c>
      <c r="AD20" s="97" t="s">
        <v>85</v>
      </c>
      <c r="AE20" s="97" t="s">
        <v>74</v>
      </c>
      <c r="AF20" s="97" t="s">
        <v>74</v>
      </c>
      <c r="AG20" s="96" t="s">
        <v>205</v>
      </c>
      <c r="AH20" s="96" t="s">
        <v>6</v>
      </c>
      <c r="AI20" s="96" t="s">
        <v>180</v>
      </c>
      <c r="AJ20" s="96" t="s">
        <v>118</v>
      </c>
      <c r="AK20" s="96" t="s">
        <v>7</v>
      </c>
      <c r="AL20" s="98" t="str">
        <f>C5</f>
        <v>45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s="102" cm="1">
        <f t="array" ref="AQ20">ROUND(PQ2nits((20*$AO20)/(2055+31*65)),3)</f>
        <v>0.15</v>
      </c>
    </row>
    <row r="21" spans="2:54" x14ac:dyDescent="0.3">
      <c r="B21" s="52" t="s">
        <v>171</v>
      </c>
      <c r="C21" s="91" t="str">
        <f t="shared" si="2"/>
        <v>:1074400000fc004550534f4e20504a0a20202020</v>
      </c>
      <c r="D21" s="39"/>
      <c r="E21" s="39"/>
      <c r="F21" s="39"/>
      <c r="G21" s="39" t="str" cm="1">
        <f t="array" ref="G21">IntelHexChecksum(RIGHT(C21,40))</f>
        <v>77</v>
      </c>
      <c r="H21" s="39"/>
      <c r="I21" s="39"/>
      <c r="J21" s="44"/>
      <c r="V21" s="63"/>
      <c r="W21" s="98" t="str">
        <f>G5</f>
        <v>03</v>
      </c>
      <c r="X21" s="98" t="str">
        <f>J5</f>
        <v>A8</v>
      </c>
      <c r="Y21" s="98" t="str">
        <f>M5</f>
        <v>86</v>
      </c>
      <c r="Z21" s="98" t="str">
        <f>O5</f>
        <v>60</v>
      </c>
      <c r="AA21" s="98" t="str">
        <f>Q5</f>
        <v>76</v>
      </c>
      <c r="AB21" s="98" t="str">
        <f>S5</f>
        <v>8F</v>
      </c>
      <c r="AC21" s="63" t="s">
        <v>7</v>
      </c>
      <c r="AD21" s="63" t="s">
        <v>7</v>
      </c>
      <c r="AE21" s="63" t="s">
        <v>7</v>
      </c>
      <c r="AF21" s="63" t="s">
        <v>7</v>
      </c>
      <c r="AG21" s="63" t="s">
        <v>7</v>
      </c>
      <c r="AH21" s="63" t="s">
        <v>7</v>
      </c>
      <c r="AI21" s="63" t="s">
        <v>7</v>
      </c>
      <c r="AJ21" s="63" t="s">
        <v>7</v>
      </c>
      <c r="AK21" s="63" t="s">
        <v>7</v>
      </c>
      <c r="AL21" s="63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s="102" cm="1">
        <f t="array" ref="AQ21">ROUND(PQ2nits((20*$AO21)/(2055+31*65)),3)</f>
        <v>0.17599999999999999</v>
      </c>
    </row>
    <row r="22" spans="2:54" x14ac:dyDescent="0.3">
      <c r="B22" s="52" t="s">
        <v>162</v>
      </c>
      <c r="C22" s="91" t="str">
        <f t="shared" si="2"/>
        <v>:107450000107020366f055616066655f5e5d6210</v>
      </c>
      <c r="D22" s="39"/>
      <c r="E22" s="39"/>
      <c r="F22" s="39"/>
      <c r="G22" s="39" t="str" cm="1">
        <f t="array" ref="G22">IntelHexChecksum(RIGHT(C22,40))</f>
        <v>5C</v>
      </c>
      <c r="H22" s="39"/>
      <c r="I22" s="39"/>
      <c r="J22" s="44"/>
      <c r="V22" s="63"/>
      <c r="W22" s="63" t="s">
        <v>7</v>
      </c>
      <c r="X22" s="63" t="s">
        <v>7</v>
      </c>
      <c r="Y22" s="63" t="s">
        <v>7</v>
      </c>
      <c r="Z22" s="63" t="s">
        <v>7</v>
      </c>
      <c r="AA22" s="63" t="s">
        <v>7</v>
      </c>
      <c r="AB22" s="63" t="s">
        <v>7</v>
      </c>
      <c r="AC22" s="63" t="s">
        <v>7</v>
      </c>
      <c r="AD22" s="63" t="s">
        <v>7</v>
      </c>
      <c r="AE22" s="63" t="s">
        <v>7</v>
      </c>
      <c r="AF22" s="63" t="s">
        <v>7</v>
      </c>
      <c r="AG22" s="63" t="s">
        <v>7</v>
      </c>
      <c r="AH22" s="63" t="s">
        <v>7</v>
      </c>
      <c r="AI22" s="63" t="s">
        <v>7</v>
      </c>
      <c r="AJ22" s="63" t="s">
        <v>7</v>
      </c>
      <c r="AK22" s="63" t="s">
        <v>7</v>
      </c>
      <c r="AL22" s="96" t="s">
        <v>108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s="102" cm="1">
        <f t="array" ref="AQ22">ROUND(PQ2nits((20*$AO22)/(2055+31*65)),3)</f>
        <v>0.20399999999999999</v>
      </c>
    </row>
    <row r="23" spans="2:54" x14ac:dyDescent="0.3">
      <c r="B23" s="52" t="s">
        <v>172</v>
      </c>
      <c r="C23" s="91" t="str">
        <f t="shared" si="2"/>
        <v>:107460001f22200514041312110302012c090707</v>
      </c>
      <c r="D23" s="39"/>
      <c r="E23" s="39"/>
      <c r="F23" s="39"/>
      <c r="G23" s="39" t="str" cm="1">
        <f t="array" ref="G23">IntelHexChecksum(RIGHT(C23,40))</f>
        <v>1F</v>
      </c>
      <c r="H23" s="39"/>
      <c r="I23" s="39"/>
      <c r="J23" s="44"/>
      <c r="V23" s="63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s="102" cm="1">
        <f t="array" ref="AQ23">ROUND(PQ2nits((20*$AO23)/(2055+31*65)),3)</f>
        <v>0.23599999999999999</v>
      </c>
    </row>
    <row r="24" spans="2:54" x14ac:dyDescent="0.3">
      <c r="B24" s="52" t="s">
        <v>173</v>
      </c>
      <c r="C24" s="91" t="str">
        <f t="shared" si="2"/>
        <v>:107470000d07075f570057040072030c001000b8</v>
      </c>
      <c r="D24" s="39"/>
      <c r="E24" s="39"/>
      <c r="F24" s="39"/>
      <c r="G24" s="39" t="str" cm="1">
        <f t="array" ref="G24">IntelHexChecksum(RIGHT(C24,40))</f>
        <v>97</v>
      </c>
      <c r="H24" s="39"/>
      <c r="I24" s="39"/>
      <c r="J24" s="44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s="102" cm="1">
        <f t="array" ref="AQ24">ROUND(PQ2nits((20*$AO24)/(2055+31*65)),3)</f>
        <v>0.27100000000000002</v>
      </c>
    </row>
    <row r="25" spans="2:54" x14ac:dyDescent="0.3">
      <c r="B25" s="52" t="s">
        <v>174</v>
      </c>
      <c r="C25" s="91" t="str">
        <f t="shared" si="2"/>
        <v>:107480003ce04242424200800102030467d85dc4</v>
      </c>
      <c r="D25" s="39"/>
      <c r="E25" s="39"/>
      <c r="F25" s="39"/>
      <c r="G25" s="39" t="str" cm="1">
        <f t="array" ref="G25">IntelHexChecksum(RIGHT(C25,40))</f>
        <v>EE</v>
      </c>
      <c r="H25" s="39"/>
      <c r="I25" s="39"/>
      <c r="J25" s="44"/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s="102" cm="1">
        <f t="array" ref="AQ25">ROUND(PQ2nits((20*$AO25)/(2055+31*65)),3)</f>
        <v>0.31</v>
      </c>
    </row>
    <row r="26" spans="2:54" x14ac:dyDescent="0.3">
      <c r="B26" s="52" t="s">
        <v>175</v>
      </c>
      <c r="C26" s="91" t="str">
        <f t="shared" si="2"/>
        <v>:107490000178800b835f0000e200fbe5018b8490</v>
      </c>
      <c r="D26" s="39"/>
      <c r="E26" s="39"/>
      <c r="F26" s="39"/>
      <c r="G26" s="39" t="str" cm="1">
        <f t="array" ref="G26">IntelHexChecksum(RIGHT(C26,40))</f>
        <v>A4</v>
      </c>
      <c r="H26" s="39"/>
      <c r="I26" s="39"/>
      <c r="J26" s="44"/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s="102" cm="1">
        <f t="array" ref="AQ26">ROUND(PQ2nits((20*$AO26)/(2055+31*65)),3)</f>
        <v>0.35299999999999998</v>
      </c>
    </row>
    <row r="27" spans="2:54" x14ac:dyDescent="0.3">
      <c r="B27" s="52" t="s">
        <v>5</v>
      </c>
      <c r="C27" s="91" t="str">
        <f t="shared" si="2"/>
        <v>:1074A00001e305c000e3060d01e20f0feb0146d0</v>
      </c>
      <c r="D27" s="39"/>
      <c r="E27" s="39"/>
      <c r="F27" s="39"/>
      <c r="G27" s="39" t="str" cm="1">
        <f t="array" ref="G27">IntelHexChecksum(RIGHT(C27,40))</f>
        <v>3A</v>
      </c>
      <c r="H27" s="39"/>
      <c r="I27" s="39"/>
      <c r="J27" s="44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s="102" cm="1">
        <f t="array" ref="AQ27">ROUND(PQ2nits((20*$AO27)/(2055+31*65)),3)</f>
        <v>0.39900000000000002</v>
      </c>
    </row>
    <row r="28" spans="2:54" x14ac:dyDescent="0.3">
      <c r="B28" s="52" t="s">
        <v>176</v>
      </c>
      <c r="C28" s="91" t="str">
        <f t="shared" si="2"/>
        <v>:1074B000004503A88660768F0000000000000000</v>
      </c>
      <c r="D28" s="39"/>
      <c r="E28" s="39"/>
      <c r="F28" s="39"/>
      <c r="G28" s="39" t="str" cm="1">
        <f t="array" ref="G28">IntelHexChecksum(RIGHT(C28,40))</f>
        <v>F1</v>
      </c>
      <c r="H28" s="39"/>
      <c r="I28" s="39"/>
      <c r="J28" s="44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s="102" cm="1">
        <f t="array" ref="AQ28">ROUND(PQ2nits((20*$AO28)/(2055+31*65)),3)</f>
        <v>0.45</v>
      </c>
    </row>
    <row r="29" spans="2:54" x14ac:dyDescent="0.3">
      <c r="B29" s="52" t="s">
        <v>177</v>
      </c>
      <c r="C29" s="91" t="str">
        <f t="shared" si="2"/>
        <v>:1074C00000000000000000000000000000000000</v>
      </c>
      <c r="D29" s="39"/>
      <c r="E29" s="39"/>
      <c r="F29" s="39"/>
      <c r="G29" s="39" t="str" cm="1">
        <f t="array" ref="G29">IntelHexChecksum(RIGHT(C29,40))</f>
        <v>BC</v>
      </c>
      <c r="H29" s="39"/>
      <c r="I29" s="39"/>
      <c r="J29" s="44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s="102" cm="1">
        <f t="array" ref="AQ29">ROUND(PQ2nits((20*$AO29)/(2055+31*65)),3)</f>
        <v>0.50600000000000001</v>
      </c>
    </row>
    <row r="30" spans="2:54" ht="15" thickBot="1" x14ac:dyDescent="0.35">
      <c r="B30" s="94" t="s">
        <v>178</v>
      </c>
      <c r="C30" s="95" t="str">
        <f>_xlfn.CONCAT(":10",RIGHT(B30,4),"00",AK22:AL22,"00FFFFFFFFFFFF00371801000100")</f>
        <v>:1074D000005700FFFFFFFFFFFF00371801000100</v>
      </c>
      <c r="D30" s="47"/>
      <c r="E30" s="47"/>
      <c r="F30" s="47"/>
      <c r="G30" s="47" t="str" cm="1">
        <f t="array" ref="G30">IntelHexChecksum(RIGHT(C30,40))</f>
        <v>0A</v>
      </c>
      <c r="H30" s="47"/>
      <c r="I30" s="47"/>
      <c r="J30" s="48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s="102" cm="1">
        <f t="array" ref="AQ30">ROUND(PQ2nits((20*$AO30)/(2055+31*65)),3)</f>
        <v>0.56599999999999995</v>
      </c>
    </row>
    <row r="31" spans="2:54" x14ac:dyDescent="0.3">
      <c r="B31" s="92"/>
      <c r="C31" s="93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s="102" cm="1">
        <f t="array" ref="AQ31">ROUND(PQ2nits((20*$AO31)/(2055+31*65)),3)</f>
        <v>0.63100000000000001</v>
      </c>
    </row>
    <row r="32" spans="2:54" x14ac:dyDescent="0.3">
      <c r="B32" s="92"/>
      <c r="C32" s="93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s="102" cm="1">
        <f t="array" ref="AQ32">ROUND(PQ2nits((20*$AO32)/(2055+31*65)),3)</f>
        <v>0.70199999999999996</v>
      </c>
    </row>
    <row r="33" spans="2:55" x14ac:dyDescent="0.3">
      <c r="B33" s="92"/>
      <c r="C33" s="93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s="102" cm="1">
        <f t="array" ref="AQ33">ROUND(PQ2nits((20*$AO33)/(2055+31*65)),3)</f>
        <v>0.77900000000000003</v>
      </c>
    </row>
    <row r="34" spans="2:55" x14ac:dyDescent="0.3">
      <c r="B34" s="92"/>
      <c r="C34" s="93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s="102" cm="1">
        <f t="array" ref="AQ34">ROUND(PQ2nits((20*$AO34)/(2055+31*65)),3)</f>
        <v>0.86199999999999999</v>
      </c>
    </row>
    <row r="35" spans="2:55" x14ac:dyDescent="0.3">
      <c r="B35" s="92"/>
      <c r="C35" s="93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s="102" cm="1">
        <f t="array" ref="AQ35">ROUND(PQ2nits((20*$AO35)/(2055+31*65)),3)</f>
        <v>0.95099999999999996</v>
      </c>
    </row>
    <row r="36" spans="2:55" x14ac:dyDescent="0.3">
      <c r="B36" s="92"/>
      <c r="C36" s="93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s="102" cm="1">
        <f t="array" ref="AQ36">ROUND(PQ2nits((20*$AO36)/(2055+31*65)),3)</f>
        <v>1.048</v>
      </c>
    </row>
    <row r="37" spans="2:55" x14ac:dyDescent="0.3">
      <c r="B37" s="92"/>
      <c r="C37" s="93"/>
    </row>
    <row r="38" spans="2:55" x14ac:dyDescent="0.3">
      <c r="B38" s="92"/>
      <c r="C38" s="93"/>
    </row>
    <row r="39" spans="2:55" x14ac:dyDescent="0.3">
      <c r="B39" s="92"/>
      <c r="C39" s="93"/>
    </row>
    <row r="40" spans="2:55" x14ac:dyDescent="0.3"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</row>
    <row r="41" spans="2:55" x14ac:dyDescent="0.3"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</row>
    <row r="42" spans="2:55" x14ac:dyDescent="0.3"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</row>
    <row r="43" spans="2:55" x14ac:dyDescent="0.3"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</row>
    <row r="44" spans="2:55" x14ac:dyDescent="0.3"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</row>
    <row r="45" spans="2:55" x14ac:dyDescent="0.3"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</row>
    <row r="46" spans="2:55" x14ac:dyDescent="0.3"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</row>
    <row r="47" spans="2:55" x14ac:dyDescent="0.3"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</row>
    <row r="48" spans="2:55" x14ac:dyDescent="0.3"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</row>
    <row r="49" spans="23:39" x14ac:dyDescent="0.3"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</row>
    <row r="50" spans="23:39" x14ac:dyDescent="0.3"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</row>
    <row r="51" spans="23:39" x14ac:dyDescent="0.3"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</row>
    <row r="52" spans="23:39" x14ac:dyDescent="0.3"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</row>
    <row r="53" spans="23:39" x14ac:dyDescent="0.3"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</row>
    <row r="54" spans="23:39" x14ac:dyDescent="0.3"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23" priority="4">
      <formula>$E$7="Not Supported"</formula>
    </cfRule>
  </conditionalFormatting>
  <conditionalFormatting sqref="N7">
    <cfRule type="expression" dxfId="22" priority="3">
      <formula>$P$7="Supported"</formula>
    </cfRule>
  </conditionalFormatting>
  <conditionalFormatting sqref="P7">
    <cfRule type="expression" dxfId="21" priority="2">
      <formula>$N$7="Supported"</formula>
    </cfRule>
  </conditionalFormatting>
  <conditionalFormatting sqref="N7 P7">
    <cfRule type="expression" dxfId="20" priority="1" stopIfTrue="1">
      <formula>IF(AND($N$7="Supported",$P$7="Supported"),TRUE,FALSE)</formula>
    </cfRule>
  </conditionalFormatting>
  <dataValidations count="6">
    <dataValidation type="list" allowBlank="1" showInputMessage="1" showErrorMessage="1" sqref="E7:F7 H7 N7 P7" xr:uid="{E1B1C745-F1DC-4719-9337-FB7F7DF9A7F4}">
      <formula1>"Supported, Not Supported"</formula1>
    </dataValidation>
    <dataValidation type="list" allowBlank="1" showInputMessage="1" showErrorMessage="1" sqref="L7" xr:uid="{2CC91F59-76DF-404F-8613-8C98369C6CDE}">
      <formula1>$AU$5:$AU$8</formula1>
    </dataValidation>
    <dataValidation type="list" allowBlank="1" showInputMessage="1" showErrorMessage="1" sqref="I3" xr:uid="{9F384E1F-CFD1-414C-B09D-C4110D27A487}">
      <formula1>$AU$15:$AU$17</formula1>
    </dataValidation>
    <dataValidation type="list" allowBlank="1" showInputMessage="1" showErrorMessage="1" sqref="I7" xr:uid="{25EBF95E-B75C-4A79-87AD-AABD7D54A1CB}">
      <formula1>$AR$5:$AR$9</formula1>
    </dataValidation>
    <dataValidation type="list" allowBlank="1" showInputMessage="1" showErrorMessage="1" sqref="J7" xr:uid="{630F3CA2-E546-41BA-B580-4394D81FE804}">
      <formula1>$AN$5:$AN$36</formula1>
    </dataValidation>
    <dataValidation type="list" allowBlank="1" showInputMessage="1" showErrorMessage="1" sqref="G7" xr:uid="{F5C10CD7-76A2-4FC4-8161-37D8DE314616}">
      <formula1>$AQ$5:$AQ$36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586740</xdr:colOff>
                    <xdr:row>10</xdr:row>
                    <xdr:rowOff>106680</xdr:rowOff>
                  </from>
                  <to>
                    <xdr:col>13</xdr:col>
                    <xdr:colOff>350520</xdr:colOff>
                    <xdr:row>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GetInputFile">
                <anchor moveWithCells="1" sizeWithCells="1">
                  <from>
                    <xdr:col>1</xdr:col>
                    <xdr:colOff>777240</xdr:colOff>
                    <xdr:row>9</xdr:row>
                    <xdr:rowOff>7620</xdr:rowOff>
                  </from>
                  <to>
                    <xdr:col>1</xdr:col>
                    <xdr:colOff>1028700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SetOutputFile">
                <anchor moveWithCells="1" sizeWithCells="1">
                  <from>
                    <xdr:col>1</xdr:col>
                    <xdr:colOff>777240</xdr:colOff>
                    <xdr:row>10</xdr:row>
                    <xdr:rowOff>0</xdr:rowOff>
                  </from>
                  <to>
                    <xdr:col>1</xdr:col>
                    <xdr:colOff>1028700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968D2-A2D2-4A69-97E0-ABD89186FE3A}">
  <sheetPr codeName="Sheet10"/>
  <dimension ref="B2:BC54"/>
  <sheetViews>
    <sheetView zoomScale="90" zoomScaleNormal="90" workbookViewId="0">
      <selection activeCell="P25" sqref="P25"/>
    </sheetView>
  </sheetViews>
  <sheetFormatPr defaultRowHeight="14.4" x14ac:dyDescent="0.3"/>
  <cols>
    <col min="2" max="2" width="14" customWidth="1"/>
    <col min="3" max="3" width="7.44140625" customWidth="1"/>
    <col min="4" max="4" width="11" customWidth="1"/>
    <col min="5" max="5" width="12.77734375" customWidth="1"/>
    <col min="6" max="6" width="15.33203125" customWidth="1"/>
    <col min="7" max="7" width="8.88671875" customWidth="1"/>
    <col min="8" max="8" width="10.6640625" customWidth="1"/>
    <col min="9" max="9" width="10" customWidth="1"/>
    <col min="10" max="10" width="12.6640625" customWidth="1"/>
    <col min="11" max="11" width="9.21875" customWidth="1"/>
    <col min="12" max="12" width="16.21875" customWidth="1"/>
    <col min="13" max="13" width="10" customWidth="1"/>
    <col min="14" max="14" width="13.21875" customWidth="1"/>
    <col min="15" max="15" width="8.44140625" customWidth="1"/>
    <col min="16" max="16" width="12.88671875" customWidth="1"/>
    <col min="17" max="20" width="7.44140625" customWidth="1"/>
    <col min="21" max="21" width="12.5546875" customWidth="1"/>
    <col min="22" max="22" width="7.44140625" customWidth="1"/>
    <col min="23" max="38" width="4.33203125" customWidth="1"/>
    <col min="47" max="47" width="24.5546875" customWidth="1"/>
  </cols>
  <sheetData>
    <row r="2" spans="2:54" ht="15" thickBot="1" x14ac:dyDescent="0.35"/>
    <row r="3" spans="2:54" ht="15" thickBot="1" x14ac:dyDescent="0.35">
      <c r="H3" s="35" t="s">
        <v>31</v>
      </c>
      <c r="I3" s="37" t="s">
        <v>43</v>
      </c>
      <c r="W3" s="65" t="s">
        <v>163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61" t="s">
        <v>66</v>
      </c>
      <c r="C5" s="106" t="str">
        <f>DEC2HEX(_xlfn.BITLSHIFT(BIN2DEC(C8),5)+_xlfn.BITLSHIFT(BIN2DEC(D8),2)+_xlfn.BITLSHIFT(BIN2DEC(E8),1)+BIN2DEC(F8))</f>
        <v>47</v>
      </c>
      <c r="D5" s="106"/>
      <c r="E5" s="106"/>
      <c r="F5" s="107"/>
      <c r="G5" s="108" t="str">
        <f>DEC2HEX(_xlfn.BITLSHIFT(BIN2DEC(G8),3)+_xlfn.BITLSHIFT(BIN2DEC(H8),2)+BIN2DEC(I8),2)</f>
        <v>04</v>
      </c>
      <c r="H5" s="104"/>
      <c r="I5" s="105"/>
      <c r="J5" s="108" t="str">
        <f>DEC2HEX(_xlfn.BITLSHIFT(BIN2DEC(J8),3)+_xlfn.BITLSHIFT(BIN2DEC(K8),1)+BIN2DEC(L8),2)</f>
        <v>49</v>
      </c>
      <c r="K5" s="104"/>
      <c r="L5" s="105"/>
      <c r="M5" s="104" t="str">
        <f>BIN2HEX(_xlfn.CONCAT(M8,N8),2)</f>
        <v>57</v>
      </c>
      <c r="N5" s="105"/>
      <c r="O5" s="104" t="str">
        <f>BIN2HEX(_xlfn.CONCAT(O8,P8),2)</f>
        <v>98</v>
      </c>
      <c r="P5" s="105"/>
      <c r="Q5" s="104" t="str">
        <f>BIN2HEX(_xlfn.CONCAT(Q8,R8),2)</f>
        <v>A9</v>
      </c>
      <c r="R5" s="105"/>
      <c r="S5" s="104" t="str">
        <f>BIN2HEX(_xlfn.CONCAT(S8,T8),2)</f>
        <v>53</v>
      </c>
      <c r="T5" s="105"/>
      <c r="W5" s="84">
        <v>0</v>
      </c>
      <c r="X5" s="85">
        <v>1</v>
      </c>
      <c r="Y5" s="85">
        <v>2</v>
      </c>
      <c r="Z5" s="85">
        <v>3</v>
      </c>
      <c r="AA5" s="85">
        <v>4</v>
      </c>
      <c r="AB5" s="85">
        <v>5</v>
      </c>
      <c r="AC5" s="85">
        <v>6</v>
      </c>
      <c r="AD5" s="85">
        <v>7</v>
      </c>
      <c r="AE5" s="85">
        <v>8</v>
      </c>
      <c r="AF5" s="85">
        <v>9</v>
      </c>
      <c r="AG5" s="85">
        <v>10</v>
      </c>
      <c r="AH5" s="85">
        <v>11</v>
      </c>
      <c r="AI5" s="85">
        <v>12</v>
      </c>
      <c r="AJ5" s="85">
        <v>13</v>
      </c>
      <c r="AK5" s="85">
        <v>14</v>
      </c>
      <c r="AL5" s="86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s="102" cm="1">
        <f t="array" ref="AQ5">ROUND(PQ2nits((20*$AO5)/(2055+31*65)),3)</f>
        <v>0</v>
      </c>
      <c r="AR5" s="12" t="s">
        <v>22</v>
      </c>
      <c r="AS5" s="11" t="s">
        <v>7</v>
      </c>
      <c r="AU5" s="13" t="s">
        <v>35</v>
      </c>
      <c r="AV5" s="6" t="s">
        <v>7</v>
      </c>
    </row>
    <row r="6" spans="2:54" ht="30.75" customHeight="1" x14ac:dyDescent="0.3">
      <c r="B6" s="60" t="s">
        <v>67</v>
      </c>
      <c r="C6" s="56" t="s">
        <v>10</v>
      </c>
      <c r="D6" s="30" t="s">
        <v>12</v>
      </c>
      <c r="E6" s="31" t="s">
        <v>17</v>
      </c>
      <c r="F6" s="32" t="s">
        <v>8</v>
      </c>
      <c r="G6" s="33" t="s">
        <v>60</v>
      </c>
      <c r="H6" s="31" t="s">
        <v>40</v>
      </c>
      <c r="I6" s="34" t="s">
        <v>59</v>
      </c>
      <c r="J6" s="33" t="s">
        <v>61</v>
      </c>
      <c r="K6" s="30" t="s">
        <v>11</v>
      </c>
      <c r="L6" s="32" t="s">
        <v>37</v>
      </c>
      <c r="M6" s="30" t="s">
        <v>58</v>
      </c>
      <c r="N6" s="32" t="s">
        <v>24</v>
      </c>
      <c r="O6" s="30" t="s">
        <v>57</v>
      </c>
      <c r="P6" s="32" t="s">
        <v>23</v>
      </c>
      <c r="Q6" s="30" t="s">
        <v>56</v>
      </c>
      <c r="R6" s="32" t="s">
        <v>14</v>
      </c>
      <c r="S6" s="30" t="s">
        <v>55</v>
      </c>
      <c r="T6" s="32" t="s">
        <v>13</v>
      </c>
      <c r="V6" s="65" t="s">
        <v>68</v>
      </c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s="102" cm="1">
        <f t="array" ref="AQ6">ROUND(PQ2nits((20*$AO6)/(2055+31*65)),3)</f>
        <v>1E-3</v>
      </c>
      <c r="AR6" s="12" t="s">
        <v>21</v>
      </c>
      <c r="AS6" s="11" t="s">
        <v>6</v>
      </c>
      <c r="AU6" s="13" t="s">
        <v>36</v>
      </c>
      <c r="AV6" s="6" t="s">
        <v>6</v>
      </c>
    </row>
    <row r="7" spans="2:54" x14ac:dyDescent="0.3">
      <c r="B7" s="59"/>
      <c r="C7" s="57">
        <v>2</v>
      </c>
      <c r="D7" s="10" t="s">
        <v>20</v>
      </c>
      <c r="E7" s="14" t="s">
        <v>18</v>
      </c>
      <c r="F7" s="14" t="s">
        <v>18</v>
      </c>
      <c r="G7" s="103">
        <v>0</v>
      </c>
      <c r="H7" s="14" t="s">
        <v>18</v>
      </c>
      <c r="I7" s="15" t="s">
        <v>22</v>
      </c>
      <c r="J7" s="26">
        <v>385</v>
      </c>
      <c r="K7" s="27">
        <v>0</v>
      </c>
      <c r="L7" s="16" t="s">
        <v>36</v>
      </c>
      <c r="M7" s="23">
        <f>INDEX(AX15:AX17,MATCH(I3,AU15:AU17,0))</f>
        <v>0.17</v>
      </c>
      <c r="N7" s="36" t="s">
        <v>18</v>
      </c>
      <c r="O7" s="24">
        <f>INDEX(AY15:AY17,MATCH($I$3,$AU$15:$AU$17,0))</f>
        <v>0.79700000000000004</v>
      </c>
      <c r="P7" s="36" t="s">
        <v>19</v>
      </c>
      <c r="Q7" s="24">
        <f>INDEX(AV15:AV17,MATCH($I$3,$AU$15:$AU$17,0))</f>
        <v>0.70799999999999996</v>
      </c>
      <c r="R7" s="25">
        <f>INDEX(AZ15:AZ17,MATCH($I$3,$AU$15:$AU$17,0))</f>
        <v>0.13100000000000001</v>
      </c>
      <c r="S7" s="23">
        <f>INDEX(AW15:AW17,MATCH($I$3,$AU$15:$AU$17,0))</f>
        <v>0.29199999999999998</v>
      </c>
      <c r="T7" s="25">
        <f>INDEX(BA15:BA17,MATCH($I$3,$AU$15:$AU$17,0))</f>
        <v>4.5999999999999999E-2</v>
      </c>
      <c r="V7" s="63"/>
      <c r="W7" s="63" t="s">
        <v>7</v>
      </c>
      <c r="X7" s="63" t="s">
        <v>127</v>
      </c>
      <c r="Y7" s="63" t="s">
        <v>127</v>
      </c>
      <c r="Z7" s="63" t="s">
        <v>127</v>
      </c>
      <c r="AA7" s="63" t="s">
        <v>127</v>
      </c>
      <c r="AB7" s="63" t="s">
        <v>127</v>
      </c>
      <c r="AC7" s="63" t="s">
        <v>127</v>
      </c>
      <c r="AD7" s="63" t="s">
        <v>7</v>
      </c>
      <c r="AE7" s="63" t="s">
        <v>264</v>
      </c>
      <c r="AF7" s="63" t="s">
        <v>194</v>
      </c>
      <c r="AG7" s="63" t="s">
        <v>84</v>
      </c>
      <c r="AH7" s="63" t="s">
        <v>95</v>
      </c>
      <c r="AI7" s="63" t="s">
        <v>6</v>
      </c>
      <c r="AJ7" s="63" t="s">
        <v>6</v>
      </c>
      <c r="AK7" s="63" t="s">
        <v>6</v>
      </c>
      <c r="AL7" s="63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s="102" cm="1">
        <f t="array" ref="AQ7">ROUND(PQ2nits((20*$AO7)/(2055+31*65)),3)</f>
        <v>2E-3</v>
      </c>
      <c r="AR7" s="12" t="s">
        <v>26</v>
      </c>
      <c r="AS7" s="11" t="s">
        <v>28</v>
      </c>
      <c r="AU7" s="13" t="s">
        <v>38</v>
      </c>
      <c r="AV7" s="6" t="s">
        <v>28</v>
      </c>
    </row>
    <row r="8" spans="2:54" s="7" customFormat="1" ht="15" thickBot="1" x14ac:dyDescent="0.35">
      <c r="B8" s="62"/>
      <c r="C8" s="58" t="s">
        <v>15</v>
      </c>
      <c r="D8" s="17" t="s">
        <v>16</v>
      </c>
      <c r="E8" s="18">
        <f>IF(EXACT(E7,"Supported"),1,0)</f>
        <v>1</v>
      </c>
      <c r="F8" s="18">
        <f>IF(EXACT(F7,"Supported"),1,0)</f>
        <v>1</v>
      </c>
      <c r="G8" s="20" t="str">
        <f>DEC2BIN(_xlfn.XLOOKUP(G7,AQ5:AQ36,AO5:AO36),5)</f>
        <v>00000</v>
      </c>
      <c r="H8" s="18">
        <f>IF(EXACT(H7,"Supported"),1,0)</f>
        <v>1</v>
      </c>
      <c r="I8" s="19" t="str">
        <f>IF(EXACT(E7,"Not Supported"),"11",INDEX(AS5:AS8,MATCH(I7,AR5:AR8,0)))</f>
        <v>00</v>
      </c>
      <c r="J8" s="20" t="str">
        <f>DEC2BIN(VLOOKUP(J7,AN5:AO36,2),5)</f>
        <v>01001</v>
      </c>
      <c r="K8" s="28">
        <v>0</v>
      </c>
      <c r="L8" s="19" t="str">
        <f>VLOOKUP(L7,AU5:AV8,2)</f>
        <v>01</v>
      </c>
      <c r="M8" s="29" t="str">
        <f>DEC2BIN(M7/( 0.49609375/127),7)</f>
        <v>0101011</v>
      </c>
      <c r="N8" s="21">
        <f>IF(AND(EXACT(N7,"Supported"),EXACT(P7,"Not Supported")),1,0)</f>
        <v>1</v>
      </c>
      <c r="O8" s="29" t="str">
        <f>DEC2BIN((O7-0.5)/((0.99609375-0.5)/127),7)</f>
        <v>1001100</v>
      </c>
      <c r="P8" s="21">
        <f>IF(AND(EXACT(P7,"Supported"),EXACT(N7,"Not Supported")),1,0)</f>
        <v>0</v>
      </c>
      <c r="Q8" s="20" t="str">
        <f>DEC2BIN((Q7-0.625)/((0.74609375-0.625)/31),5)</f>
        <v>10101</v>
      </c>
      <c r="R8" s="19" t="str">
        <f>DEC2BIN((R7-0.125)/((0.15234375-0.125)/7),3)</f>
        <v>001</v>
      </c>
      <c r="S8" s="20" t="str">
        <f>DEC2BIN((S7-0.25)/((0.37109375-0.25)/31),5)</f>
        <v>01010</v>
      </c>
      <c r="T8" s="19" t="str">
        <f>DEC2BIN((T7-0.03125)/((0.05859375-0.03125)/7),3)</f>
        <v>011</v>
      </c>
      <c r="V8" s="63"/>
      <c r="W8" s="63" t="s">
        <v>7</v>
      </c>
      <c r="X8" s="63" t="s">
        <v>130</v>
      </c>
      <c r="Y8" s="63" t="s">
        <v>6</v>
      </c>
      <c r="Z8" s="63" t="s">
        <v>89</v>
      </c>
      <c r="AA8" s="63" t="s">
        <v>112</v>
      </c>
      <c r="AB8" s="63" t="s">
        <v>265</v>
      </c>
      <c r="AC8" s="63" t="s">
        <v>266</v>
      </c>
      <c r="AD8" s="63" t="s">
        <v>113</v>
      </c>
      <c r="AE8" s="63" t="s">
        <v>267</v>
      </c>
      <c r="AF8" s="63" t="s">
        <v>268</v>
      </c>
      <c r="AG8" s="63" t="s">
        <v>269</v>
      </c>
      <c r="AH8" s="63" t="s">
        <v>188</v>
      </c>
      <c r="AI8" s="63" t="s">
        <v>191</v>
      </c>
      <c r="AJ8" s="63" t="s">
        <v>135</v>
      </c>
      <c r="AK8" s="63" t="s">
        <v>270</v>
      </c>
      <c r="AL8" s="63" t="s">
        <v>271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s="102" cm="1">
        <f t="array" ref="AQ8">ROUND(PQ2nits((20*$AO8)/(2055+31*65)),3)</f>
        <v>5.0000000000000001E-3</v>
      </c>
      <c r="AR8" s="11" t="s">
        <v>27</v>
      </c>
      <c r="AS8" s="11" t="s">
        <v>29</v>
      </c>
      <c r="AU8" s="13" t="s">
        <v>39</v>
      </c>
      <c r="AV8" s="8" t="s">
        <v>29</v>
      </c>
    </row>
    <row r="9" spans="2:54" ht="15" thickBot="1" x14ac:dyDescent="0.35">
      <c r="C9" s="9"/>
      <c r="D9" s="9"/>
      <c r="E9" s="9"/>
      <c r="F9" s="9"/>
      <c r="G9" s="9" t="s">
        <v>290</v>
      </c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3"/>
      <c r="W9" s="63" t="s">
        <v>259</v>
      </c>
      <c r="X9" s="63" t="s">
        <v>139</v>
      </c>
      <c r="Y9" s="63" t="s">
        <v>187</v>
      </c>
      <c r="Z9" s="63" t="s">
        <v>125</v>
      </c>
      <c r="AA9" s="63" t="s">
        <v>140</v>
      </c>
      <c r="AB9" s="63" t="s">
        <v>7</v>
      </c>
      <c r="AC9" s="63" t="s">
        <v>143</v>
      </c>
      <c r="AD9" s="63" t="s">
        <v>7</v>
      </c>
      <c r="AE9" s="63" t="s">
        <v>141</v>
      </c>
      <c r="AF9" s="63" t="s">
        <v>112</v>
      </c>
      <c r="AG9" s="63" t="s">
        <v>272</v>
      </c>
      <c r="AH9" s="63" t="s">
        <v>7</v>
      </c>
      <c r="AI9" s="63" t="s">
        <v>141</v>
      </c>
      <c r="AJ9" s="63" t="s">
        <v>7</v>
      </c>
      <c r="AK9" s="63" t="s">
        <v>261</v>
      </c>
      <c r="AL9" s="63" t="s">
        <v>81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s="102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9" t="s">
        <v>63</v>
      </c>
      <c r="C10" s="40" t="s">
        <v>65</v>
      </c>
      <c r="D10" s="41"/>
      <c r="E10" s="41"/>
      <c r="F10" s="41"/>
      <c r="G10" s="41"/>
      <c r="H10" s="41"/>
      <c r="I10" s="41"/>
      <c r="J10" s="42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3"/>
      <c r="W10" s="63" t="s">
        <v>6</v>
      </c>
      <c r="X10" s="63" t="s">
        <v>6</v>
      </c>
      <c r="Y10" s="63" t="s">
        <v>6</v>
      </c>
      <c r="Z10" s="63" t="s">
        <v>6</v>
      </c>
      <c r="AA10" s="63" t="s">
        <v>6</v>
      </c>
      <c r="AB10" s="63" t="s">
        <v>6</v>
      </c>
      <c r="AC10" s="63" t="s">
        <v>88</v>
      </c>
      <c r="AD10" s="63" t="s">
        <v>150</v>
      </c>
      <c r="AE10" s="63" t="s">
        <v>112</v>
      </c>
      <c r="AF10" s="63" t="s">
        <v>126</v>
      </c>
      <c r="AG10" s="63" t="s">
        <v>151</v>
      </c>
      <c r="AH10" s="63" t="s">
        <v>111</v>
      </c>
      <c r="AI10" s="63" t="s">
        <v>121</v>
      </c>
      <c r="AJ10" s="63" t="s">
        <v>104</v>
      </c>
      <c r="AK10" s="63" t="s">
        <v>148</v>
      </c>
      <c r="AL10" s="63" t="s">
        <v>152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s="102" cm="1">
        <f t="array" ref="AQ10">ROUND(PQ2nits((20*$AO10)/(2055+31*65)),3)</f>
        <v>1.2999999999999999E-2</v>
      </c>
      <c r="AR10" s="5"/>
    </row>
    <row r="11" spans="2:54" ht="15" thickBot="1" x14ac:dyDescent="0.35">
      <c r="B11" s="50" t="s">
        <v>64</v>
      </c>
      <c r="C11" s="38" t="s">
        <v>263</v>
      </c>
      <c r="D11" s="9"/>
      <c r="E11" s="9"/>
      <c r="F11" s="9"/>
      <c r="G11" s="9"/>
      <c r="H11" s="9"/>
      <c r="I11" s="9"/>
      <c r="J11" s="43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3"/>
      <c r="W11" s="63" t="s">
        <v>142</v>
      </c>
      <c r="X11" s="63" t="s">
        <v>7</v>
      </c>
      <c r="Y11" s="63" t="s">
        <v>273</v>
      </c>
      <c r="Z11" s="63" t="s">
        <v>85</v>
      </c>
      <c r="AA11" s="63" t="s">
        <v>193</v>
      </c>
      <c r="AB11" s="63" t="s">
        <v>7</v>
      </c>
      <c r="AC11" s="63" t="s">
        <v>7</v>
      </c>
      <c r="AD11" s="63" t="s">
        <v>77</v>
      </c>
      <c r="AE11" s="63" t="s">
        <v>73</v>
      </c>
      <c r="AF11" s="63" t="s">
        <v>72</v>
      </c>
      <c r="AG11" s="63" t="s">
        <v>7</v>
      </c>
      <c r="AH11" s="63" t="s">
        <v>260</v>
      </c>
      <c r="AI11" s="63" t="s">
        <v>274</v>
      </c>
      <c r="AJ11" s="63" t="s">
        <v>7</v>
      </c>
      <c r="AK11" s="63" t="s">
        <v>275</v>
      </c>
      <c r="AL11" s="63" t="s">
        <v>145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s="102" cm="1">
        <f t="array" ref="AQ11">ROUND(PQ2nits((20*$AO11)/(2055+31*65)),3)</f>
        <v>1.9E-2</v>
      </c>
      <c r="AR11" s="5"/>
    </row>
    <row r="12" spans="2:54" x14ac:dyDescent="0.3">
      <c r="B12" s="53" t="s">
        <v>0</v>
      </c>
      <c r="C12" s="54" t="str">
        <f>_xlfn.CONCAT(B5:T5)</f>
        <v>EB0146D0004704495798A953</v>
      </c>
      <c r="D12" s="54"/>
      <c r="E12" s="54"/>
      <c r="F12" s="54"/>
      <c r="G12" s="54"/>
      <c r="H12" s="54"/>
      <c r="I12" s="54"/>
      <c r="J12" s="55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3"/>
      <c r="W12" s="63" t="s">
        <v>276</v>
      </c>
      <c r="X12" s="63" t="s">
        <v>160</v>
      </c>
      <c r="Y12" s="63" t="s">
        <v>155</v>
      </c>
      <c r="Z12" s="63" t="s">
        <v>7</v>
      </c>
      <c r="AA12" s="63" t="s">
        <v>260</v>
      </c>
      <c r="AB12" s="63" t="s">
        <v>275</v>
      </c>
      <c r="AC12" s="63" t="s">
        <v>194</v>
      </c>
      <c r="AD12" s="63" t="s">
        <v>7</v>
      </c>
      <c r="AE12" s="63" t="s">
        <v>7</v>
      </c>
      <c r="AF12" s="63" t="s">
        <v>275</v>
      </c>
      <c r="AG12" s="63" t="s">
        <v>7</v>
      </c>
      <c r="AH12" s="63" t="s">
        <v>7</v>
      </c>
      <c r="AI12" s="63" t="s">
        <v>7</v>
      </c>
      <c r="AJ12" s="63" t="s">
        <v>153</v>
      </c>
      <c r="AK12" s="63" t="s">
        <v>7</v>
      </c>
      <c r="AL12" s="63" t="s">
        <v>277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s="102" cm="1">
        <f t="array" ref="AQ12">ROUND(PQ2nits((20*$AO12)/(2055+31*65)),3)</f>
        <v>2.5999999999999999E-2</v>
      </c>
    </row>
    <row r="13" spans="2:54" x14ac:dyDescent="0.3">
      <c r="B13" s="51" t="s">
        <v>62</v>
      </c>
      <c r="C13" s="45" t="str" cm="1">
        <f t="array" ref="C13">EDIDCheckSum(C12)</f>
        <v>59</v>
      </c>
      <c r="D13" s="39"/>
      <c r="E13" s="39"/>
      <c r="F13" s="39"/>
      <c r="G13" s="39"/>
      <c r="H13" s="39"/>
      <c r="I13" s="39"/>
      <c r="J13" s="44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3"/>
      <c r="W13" s="63" t="s">
        <v>135</v>
      </c>
      <c r="X13" s="63" t="s">
        <v>132</v>
      </c>
      <c r="Y13" s="63" t="s">
        <v>180</v>
      </c>
      <c r="Z13" s="63" t="s">
        <v>106</v>
      </c>
      <c r="AA13" s="63" t="s">
        <v>187</v>
      </c>
      <c r="AB13" s="63" t="s">
        <v>121</v>
      </c>
      <c r="AC13" s="63" t="s">
        <v>121</v>
      </c>
      <c r="AD13" s="63" t="s">
        <v>148</v>
      </c>
      <c r="AE13" s="63" t="s">
        <v>278</v>
      </c>
      <c r="AF13" s="63" t="s">
        <v>145</v>
      </c>
      <c r="AG13" s="63" t="s">
        <v>187</v>
      </c>
      <c r="AH13" s="63" t="s">
        <v>279</v>
      </c>
      <c r="AI13" s="63" t="s">
        <v>7</v>
      </c>
      <c r="AJ13" s="63" t="s">
        <v>7</v>
      </c>
      <c r="AK13" s="63" t="s">
        <v>7</v>
      </c>
      <c r="AL13" s="63" t="s">
        <v>158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s="102" cm="1">
        <f t="array" ref="AQ13">ROUND(PQ2nits((20*$AO13)/(2055+31*65)),3)</f>
        <v>3.5000000000000003E-2</v>
      </c>
    </row>
    <row r="14" spans="2:54" x14ac:dyDescent="0.3">
      <c r="B14" s="52" t="s">
        <v>164</v>
      </c>
      <c r="C14" s="91" t="str">
        <f>_xlfn.CONCAT(":1073D0000086",_xlfn.CONCAT(W7:AJ7))</f>
        <v>:1073D000008600ffffffffffff0029633c040101</v>
      </c>
      <c r="D14" s="39"/>
      <c r="E14" s="39"/>
      <c r="F14" s="39"/>
      <c r="G14" s="39" t="str" cm="1">
        <f t="array" ref="G14">IntelHexChecksum(RIGHT(C14,40))</f>
        <v>5F</v>
      </c>
      <c r="H14" s="39"/>
      <c r="I14" s="39"/>
      <c r="J14" s="44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3"/>
      <c r="W14" s="63" t="s">
        <v>7</v>
      </c>
      <c r="X14" s="63" t="s">
        <v>250</v>
      </c>
      <c r="Y14" s="63" t="s">
        <v>76</v>
      </c>
      <c r="Z14" s="63" t="s">
        <v>183</v>
      </c>
      <c r="AA14" s="63" t="s">
        <v>119</v>
      </c>
      <c r="AB14" s="63" t="s">
        <v>84</v>
      </c>
      <c r="AC14" s="63" t="s">
        <v>7</v>
      </c>
      <c r="AD14" s="63" t="s">
        <v>117</v>
      </c>
      <c r="AE14" s="63" t="s">
        <v>102</v>
      </c>
      <c r="AF14" s="63" t="s">
        <v>102</v>
      </c>
      <c r="AG14" s="63" t="s">
        <v>102</v>
      </c>
      <c r="AH14" s="63" t="s">
        <v>102</v>
      </c>
      <c r="AI14" s="63" t="s">
        <v>102</v>
      </c>
      <c r="AJ14" s="63" t="s">
        <v>102</v>
      </c>
      <c r="AK14" s="63" t="s">
        <v>6</v>
      </c>
      <c r="AL14" s="63" t="s">
        <v>118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s="102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52" t="s">
        <v>165</v>
      </c>
      <c r="C15" s="91" t="str">
        <f>_xlfn.CONCAT(":10",RIGHT(B15,4),"00",AK7:AL7,W8:AJ8)</f>
        <v>:1073E00001010019010380dd7d782b6be9ab544c</v>
      </c>
      <c r="D15" s="39"/>
      <c r="E15" s="39"/>
      <c r="F15" s="39"/>
      <c r="G15" s="39" t="str" cm="1">
        <f t="array" ref="G15">IntelHexChecksum(RIGHT(C15,40))</f>
        <v>62</v>
      </c>
      <c r="H15" s="39"/>
      <c r="I15" s="39"/>
      <c r="J15" s="44"/>
      <c r="V15" s="65" t="s">
        <v>69</v>
      </c>
      <c r="W15" s="63" t="s">
        <v>88</v>
      </c>
      <c r="X15" s="63" t="s">
        <v>89</v>
      </c>
      <c r="Y15" s="96" t="s">
        <v>197</v>
      </c>
      <c r="Z15" s="63" t="s">
        <v>157</v>
      </c>
      <c r="AA15" s="63" t="s">
        <v>190</v>
      </c>
      <c r="AB15" s="63" t="s">
        <v>196</v>
      </c>
      <c r="AC15" s="63" t="s">
        <v>280</v>
      </c>
      <c r="AD15" s="63" t="s">
        <v>281</v>
      </c>
      <c r="AE15" s="63" t="s">
        <v>282</v>
      </c>
      <c r="AF15" s="63" t="s">
        <v>102</v>
      </c>
      <c r="AG15" s="63" t="s">
        <v>95</v>
      </c>
      <c r="AH15" s="63" t="s">
        <v>99</v>
      </c>
      <c r="AI15" s="63" t="s">
        <v>29</v>
      </c>
      <c r="AJ15" s="63" t="s">
        <v>98</v>
      </c>
      <c r="AK15" s="63" t="s">
        <v>88</v>
      </c>
      <c r="AL15" s="63" t="s">
        <v>89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s="102" cm="1">
        <f t="array" ref="AQ15">ROUND(PQ2nits((20*$AO15)/(2055+31*65)),3)</f>
        <v>5.8000000000000003E-2</v>
      </c>
      <c r="AU15" s="6" t="s">
        <v>42</v>
      </c>
      <c r="AV15" s="22">
        <v>0.64</v>
      </c>
      <c r="AW15" s="22">
        <v>0.33</v>
      </c>
      <c r="AX15" s="22">
        <v>0.3</v>
      </c>
      <c r="AY15" s="22">
        <v>0.6</v>
      </c>
      <c r="AZ15" s="22">
        <v>0.15</v>
      </c>
      <c r="BA15" s="22">
        <v>0.06</v>
      </c>
      <c r="BB15" t="s">
        <v>53</v>
      </c>
    </row>
    <row r="16" spans="2:54" x14ac:dyDescent="0.3">
      <c r="B16" s="52" t="s">
        <v>166</v>
      </c>
      <c r="C16" s="91" t="str">
        <f t="shared" ref="C16:C29" si="2">_xlfn.CONCAT(":10",RIGHT(B16,4),"00",AK8:AL8,W9:AJ9)</f>
        <v>:1073F000af240b484a21080095008180b3008100</v>
      </c>
      <c r="D16" s="39"/>
      <c r="E16" s="39"/>
      <c r="F16" s="39"/>
      <c r="G16" s="39" t="str" cm="1">
        <f t="array" ref="G16">IntelHexChecksum(RIGHT(C16,40))</f>
        <v>2A</v>
      </c>
      <c r="H16" s="39"/>
      <c r="I16" s="39"/>
      <c r="J16" s="44"/>
      <c r="V16" s="63"/>
      <c r="W16" s="63" t="s">
        <v>70</v>
      </c>
      <c r="X16" s="63" t="s">
        <v>197</v>
      </c>
      <c r="Y16" s="63" t="s">
        <v>78</v>
      </c>
      <c r="Z16" s="63" t="s">
        <v>92</v>
      </c>
      <c r="AA16" s="63" t="s">
        <v>91</v>
      </c>
      <c r="AB16" s="63" t="s">
        <v>198</v>
      </c>
      <c r="AC16" s="63" t="s">
        <v>194</v>
      </c>
      <c r="AD16" s="63" t="s">
        <v>253</v>
      </c>
      <c r="AE16" s="63" t="s">
        <v>93</v>
      </c>
      <c r="AF16" s="63" t="s">
        <v>94</v>
      </c>
      <c r="AG16" s="63" t="s">
        <v>283</v>
      </c>
      <c r="AH16" s="63" t="s">
        <v>89</v>
      </c>
      <c r="AI16" s="63" t="s">
        <v>83</v>
      </c>
      <c r="AJ16" s="63" t="s">
        <v>7</v>
      </c>
      <c r="AK16" s="63" t="s">
        <v>28</v>
      </c>
      <c r="AL16" s="63" t="s">
        <v>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s="102" cm="1">
        <f t="array" ref="AQ16">ROUND(PQ2nits((20*$AO16)/(2055+31*65)),3)</f>
        <v>7.1999999999999995E-2</v>
      </c>
      <c r="AU16" s="6" t="s">
        <v>43</v>
      </c>
      <c r="AV16" s="22">
        <v>0.70799999999999996</v>
      </c>
      <c r="AW16" s="22">
        <v>0.29199999999999998</v>
      </c>
      <c r="AX16" s="22">
        <v>0.17</v>
      </c>
      <c r="AY16" s="22">
        <v>0.79700000000000004</v>
      </c>
      <c r="AZ16" s="22">
        <v>0.13100000000000001</v>
      </c>
      <c r="BA16" s="22">
        <v>4.5999999999999999E-2</v>
      </c>
      <c r="BB16" t="s">
        <v>51</v>
      </c>
    </row>
    <row r="17" spans="2:54" x14ac:dyDescent="0.3">
      <c r="B17" s="52" t="s">
        <v>167</v>
      </c>
      <c r="C17" s="91" t="str">
        <f t="shared" si="2"/>
        <v>:10740000a9c0010101010101023a801871382d40</v>
      </c>
      <c r="D17" s="39"/>
      <c r="E17" s="39"/>
      <c r="F17" s="39"/>
      <c r="G17" s="39" t="str" cm="1">
        <f t="array" ref="G17">IntelHexChecksum(RIGHT(C17,40))</f>
        <v>23</v>
      </c>
      <c r="H17" s="39"/>
      <c r="I17" s="39"/>
      <c r="J17" s="44"/>
      <c r="V17" s="63"/>
      <c r="W17" s="63" t="s">
        <v>111</v>
      </c>
      <c r="X17" s="63" t="s">
        <v>84</v>
      </c>
      <c r="Y17" s="63" t="s">
        <v>120</v>
      </c>
      <c r="Z17" s="63" t="s">
        <v>132</v>
      </c>
      <c r="AA17" s="63" t="s">
        <v>127</v>
      </c>
      <c r="AB17" s="63" t="s">
        <v>132</v>
      </c>
      <c r="AC17" s="63" t="s">
        <v>127</v>
      </c>
      <c r="AD17" s="63" t="s">
        <v>112</v>
      </c>
      <c r="AE17" s="63" t="s">
        <v>119</v>
      </c>
      <c r="AF17" s="63" t="s">
        <v>6</v>
      </c>
      <c r="AG17" s="63" t="s">
        <v>88</v>
      </c>
      <c r="AH17" s="63" t="s">
        <v>89</v>
      </c>
      <c r="AI17" s="63" t="s">
        <v>95</v>
      </c>
      <c r="AJ17" s="63" t="s">
        <v>140</v>
      </c>
      <c r="AK17" s="63" t="s">
        <v>28</v>
      </c>
      <c r="AL17" s="63" t="s">
        <v>126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s="102" cm="1">
        <f t="array" ref="AQ17">ROUND(PQ2nits((20*$AO17)/(2055+31*65)),3)</f>
        <v>8.7999999999999995E-2</v>
      </c>
      <c r="AU17" s="6" t="s">
        <v>44</v>
      </c>
      <c r="AV17" s="22">
        <v>0.68</v>
      </c>
      <c r="AW17" s="22">
        <v>0.32</v>
      </c>
      <c r="AX17" s="22">
        <v>0.26500000000000001</v>
      </c>
      <c r="AY17" s="22">
        <v>0.69</v>
      </c>
      <c r="AZ17" s="22">
        <v>0.15</v>
      </c>
      <c r="BA17" s="22">
        <v>0.06</v>
      </c>
      <c r="BB17" t="s">
        <v>52</v>
      </c>
    </row>
    <row r="18" spans="2:54" x14ac:dyDescent="0.3">
      <c r="B18" s="52" t="s">
        <v>168</v>
      </c>
      <c r="C18" s="91" t="str">
        <f t="shared" si="2"/>
        <v>:10741000582c4500a2e28400001e3f1f008b5100</v>
      </c>
      <c r="D18" s="39"/>
      <c r="E18" s="39"/>
      <c r="F18" s="39"/>
      <c r="G18" s="39" t="str" cm="1">
        <f t="array" ref="G18">IntelHexChecksum(RIGHT(C18,40))</f>
        <v>43</v>
      </c>
      <c r="H18" s="39"/>
      <c r="I18" s="39"/>
      <c r="J18" s="44"/>
      <c r="V18" s="63"/>
      <c r="W18" s="63" t="s">
        <v>28</v>
      </c>
      <c r="X18" s="63" t="s">
        <v>139</v>
      </c>
      <c r="Y18" s="63" t="s">
        <v>28</v>
      </c>
      <c r="Z18" s="63" t="s">
        <v>148</v>
      </c>
      <c r="AA18" s="63" t="s">
        <v>28</v>
      </c>
      <c r="AB18" s="63" t="s">
        <v>284</v>
      </c>
      <c r="AC18" s="63" t="s">
        <v>28</v>
      </c>
      <c r="AD18" s="63" t="s">
        <v>109</v>
      </c>
      <c r="AE18" s="63" t="s">
        <v>86</v>
      </c>
      <c r="AF18" s="63" t="s">
        <v>70</v>
      </c>
      <c r="AG18" s="63" t="s">
        <v>87</v>
      </c>
      <c r="AH18" s="63" t="s">
        <v>6</v>
      </c>
      <c r="AI18" s="63" t="s">
        <v>113</v>
      </c>
      <c r="AJ18" s="63" t="s">
        <v>112</v>
      </c>
      <c r="AK18" s="63" t="s">
        <v>89</v>
      </c>
      <c r="AL18" s="63" t="s">
        <v>80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s="102" cm="1">
        <f t="array" ref="AQ18">ROUND(PQ2nits((20*$AO18)/(2055+31*65)),3)</f>
        <v>0.106</v>
      </c>
    </row>
    <row r="19" spans="2:54" x14ac:dyDescent="0.3">
      <c r="B19" s="52" t="s">
        <v>169</v>
      </c>
      <c r="C19" s="91" t="str">
        <f t="shared" si="2"/>
        <v>:107420001c30c88743008b1c6300001c000000fc</v>
      </c>
      <c r="D19" s="39"/>
      <c r="E19" s="39"/>
      <c r="F19" s="39"/>
      <c r="G19" s="39" t="str" cm="1">
        <f t="array" ref="G19">IntelHexChecksum(RIGHT(C19,40))</f>
        <v>5C</v>
      </c>
      <c r="H19" s="39"/>
      <c r="I19" s="39"/>
      <c r="J19" s="44"/>
      <c r="V19" s="63"/>
      <c r="W19" s="97" t="s">
        <v>96</v>
      </c>
      <c r="X19" s="97" t="s">
        <v>285</v>
      </c>
      <c r="Y19" s="97" t="s">
        <v>6</v>
      </c>
      <c r="Z19" s="97" t="s">
        <v>85</v>
      </c>
      <c r="AA19" s="97" t="s">
        <v>7</v>
      </c>
      <c r="AB19" s="97" t="s">
        <v>203</v>
      </c>
      <c r="AC19" s="97" t="s">
        <v>286</v>
      </c>
      <c r="AD19" s="97" t="s">
        <v>74</v>
      </c>
      <c r="AE19" s="97" t="s">
        <v>7</v>
      </c>
      <c r="AF19" s="97" t="s">
        <v>81</v>
      </c>
      <c r="AG19" s="97" t="s">
        <v>126</v>
      </c>
      <c r="AH19" s="97" t="s">
        <v>287</v>
      </c>
      <c r="AI19" s="97" t="s">
        <v>114</v>
      </c>
      <c r="AJ19" s="97" t="s">
        <v>97</v>
      </c>
      <c r="AK19" s="97" t="s">
        <v>6</v>
      </c>
      <c r="AL19" s="97" t="s">
        <v>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s="102" cm="1">
        <f t="array" ref="AQ19">ROUND(PQ2nits((20*$AO19)/(2055+31*65)),3)</f>
        <v>0.127</v>
      </c>
    </row>
    <row r="20" spans="2:54" x14ac:dyDescent="0.3">
      <c r="B20" s="52" t="s">
        <v>170</v>
      </c>
      <c r="C20" s="91" t="str">
        <f t="shared" si="2"/>
        <v>:1074300000494c4146504a2d2d5831304a390000</v>
      </c>
      <c r="D20" s="39"/>
      <c r="E20" s="39"/>
      <c r="F20" s="39"/>
      <c r="G20" s="39" t="str" cm="1">
        <f t="array" ref="G20">IntelHexChecksum(RIGHT(C20,40))</f>
        <v>00</v>
      </c>
      <c r="H20" s="39"/>
      <c r="I20" s="39"/>
      <c r="J20" s="44"/>
      <c r="V20" s="63"/>
      <c r="W20" s="97" t="s">
        <v>7</v>
      </c>
      <c r="X20" s="97" t="s">
        <v>7</v>
      </c>
      <c r="Y20" s="96" t="s">
        <v>205</v>
      </c>
      <c r="Z20" s="96" t="s">
        <v>6</v>
      </c>
      <c r="AA20" s="96" t="s">
        <v>180</v>
      </c>
      <c r="AB20" s="96" t="s">
        <v>118</v>
      </c>
      <c r="AC20" s="96" t="s">
        <v>7</v>
      </c>
      <c r="AD20" s="98" t="str">
        <f>C5</f>
        <v>47</v>
      </c>
      <c r="AE20" s="98" t="str">
        <f>G5</f>
        <v>04</v>
      </c>
      <c r="AF20" s="98" t="str">
        <f>J5</f>
        <v>49</v>
      </c>
      <c r="AG20" s="98" t="str">
        <f>M5</f>
        <v>57</v>
      </c>
      <c r="AH20" s="98" t="str">
        <f>O5</f>
        <v>98</v>
      </c>
      <c r="AI20" s="98" t="str">
        <f>Q5</f>
        <v>A9</v>
      </c>
      <c r="AJ20" s="98" t="str">
        <f>S5</f>
        <v>53</v>
      </c>
      <c r="AK20" s="97" t="s">
        <v>6</v>
      </c>
      <c r="AL20" s="97" t="s">
        <v>149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s="102" cm="1">
        <f t="array" ref="AQ20">ROUND(PQ2nits((20*$AO20)/(2055+31*65)),3)</f>
        <v>0.15</v>
      </c>
    </row>
    <row r="21" spans="2:54" x14ac:dyDescent="0.3">
      <c r="B21" s="52" t="s">
        <v>171</v>
      </c>
      <c r="C21" s="91" t="str">
        <f t="shared" si="2"/>
        <v>:1074400000fd00173d1a8a3c000a202020202020</v>
      </c>
      <c r="D21" s="39"/>
      <c r="E21" s="39"/>
      <c r="F21" s="39"/>
      <c r="G21" s="39" t="str" cm="1">
        <f t="array" ref="G21">IntelHexChecksum(RIGHT(C21,40))</f>
        <v>41</v>
      </c>
      <c r="H21" s="39"/>
      <c r="I21" s="39"/>
      <c r="J21" s="44"/>
      <c r="V21" s="63"/>
      <c r="W21" s="97" t="s">
        <v>7</v>
      </c>
      <c r="X21" s="97" t="s">
        <v>240</v>
      </c>
      <c r="Y21" s="97" t="s">
        <v>274</v>
      </c>
      <c r="Z21" s="97" t="s">
        <v>118</v>
      </c>
      <c r="AA21" s="97" t="s">
        <v>77</v>
      </c>
      <c r="AB21" s="97" t="s">
        <v>102</v>
      </c>
      <c r="AC21" s="97" t="s">
        <v>82</v>
      </c>
      <c r="AD21" s="97" t="s">
        <v>288</v>
      </c>
      <c r="AE21" s="97" t="s">
        <v>190</v>
      </c>
      <c r="AF21" s="97" t="s">
        <v>7</v>
      </c>
      <c r="AG21" s="97" t="s">
        <v>273</v>
      </c>
      <c r="AH21" s="97" t="s">
        <v>85</v>
      </c>
      <c r="AI21" s="97" t="s">
        <v>193</v>
      </c>
      <c r="AJ21" s="97" t="s">
        <v>7</v>
      </c>
      <c r="AK21" s="97" t="s">
        <v>7</v>
      </c>
      <c r="AL21" s="97" t="s">
        <v>77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s="102" cm="1">
        <f t="array" ref="AQ21">ROUND(PQ2nits((20*$AO21)/(2055+31*65)),3)</f>
        <v>0.17599999999999999</v>
      </c>
    </row>
    <row r="22" spans="2:54" x14ac:dyDescent="0.3">
      <c r="B22" s="52" t="s">
        <v>162</v>
      </c>
      <c r="C22" s="91" t="str">
        <f t="shared" si="2"/>
        <v>:1074500001d002035e3355909f85942004131112</v>
      </c>
      <c r="D22" s="39"/>
      <c r="E22" s="39"/>
      <c r="F22" s="39"/>
      <c r="G22" s="39" t="str" cm="1">
        <f t="array" ref="G22">IntelHexChecksum(RIGHT(C22,40))</f>
        <v>CE</v>
      </c>
      <c r="H22" s="39"/>
      <c r="I22" s="39"/>
      <c r="J22" s="44"/>
      <c r="V22" s="63"/>
      <c r="W22" s="97" t="s">
        <v>7</v>
      </c>
      <c r="X22" s="97" t="s">
        <v>7</v>
      </c>
      <c r="Y22" s="97" t="s">
        <v>7</v>
      </c>
      <c r="Z22" s="97" t="s">
        <v>7</v>
      </c>
      <c r="AA22" s="97" t="s">
        <v>7</v>
      </c>
      <c r="AB22" s="97" t="s">
        <v>7</v>
      </c>
      <c r="AC22" s="97" t="s">
        <v>7</v>
      </c>
      <c r="AD22" s="97" t="s">
        <v>7</v>
      </c>
      <c r="AE22" s="97" t="s">
        <v>7</v>
      </c>
      <c r="AF22" s="97" t="s">
        <v>7</v>
      </c>
      <c r="AG22" s="97" t="s">
        <v>7</v>
      </c>
      <c r="AH22" s="97" t="s">
        <v>7</v>
      </c>
      <c r="AI22" s="97" t="s">
        <v>7</v>
      </c>
      <c r="AJ22" s="97" t="s">
        <v>7</v>
      </c>
      <c r="AK22" s="97" t="s">
        <v>7</v>
      </c>
      <c r="AL22" s="96" t="s">
        <v>75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s="102" cm="1">
        <f t="array" ref="AQ22">ROUND(PQ2nits((20*$AO22)/(2055+31*65)),3)</f>
        <v>0.20399999999999999</v>
      </c>
    </row>
    <row r="23" spans="2:54" x14ac:dyDescent="0.3">
      <c r="B23" s="52" t="s">
        <v>172</v>
      </c>
      <c r="C23" s="91" t="str">
        <f t="shared" si="2"/>
        <v>:1074600002035d5e5f606162636465667c030c00</v>
      </c>
      <c r="D23" s="39"/>
      <c r="E23" s="39"/>
      <c r="F23" s="39"/>
      <c r="G23" s="39" t="str" cm="1">
        <f t="array" ref="G23">IntelHexChecksum(RIGHT(C23,40))</f>
        <v>BD</v>
      </c>
      <c r="H23" s="39"/>
      <c r="I23" s="39"/>
      <c r="J23" s="44"/>
      <c r="V23" s="63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s="102" cm="1">
        <f t="array" ref="AQ23">ROUND(PQ2nits((20*$AO23)/(2055+31*65)),3)</f>
        <v>0.23599999999999999</v>
      </c>
    </row>
    <row r="24" spans="2:54" x14ac:dyDescent="0.3">
      <c r="B24" s="52" t="s">
        <v>173</v>
      </c>
      <c r="C24" s="91" t="str">
        <f t="shared" si="2"/>
        <v>:107470001000383ce041ff41ff808a0102030408</v>
      </c>
      <c r="D24" s="39"/>
      <c r="E24" s="39"/>
      <c r="F24" s="39"/>
      <c r="G24" s="39" t="str" cm="1">
        <f t="array" ref="G24">IntelHexChecksum(RIGHT(C24,40))</f>
        <v>0C</v>
      </c>
      <c r="H24" s="39"/>
      <c r="I24" s="39"/>
      <c r="J24" s="44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s="102" cm="1">
        <f t="array" ref="AQ24">ROUND(PQ2nits((20*$AO24)/(2055+31*65)),3)</f>
        <v>0.27100000000000002</v>
      </c>
    </row>
    <row r="25" spans="2:54" x14ac:dyDescent="0.3">
      <c r="B25" s="52" t="s">
        <v>174</v>
      </c>
      <c r="C25" s="91" t="str">
        <f t="shared" si="2"/>
        <v>:1074800010181048105810681067d85dc4017880</v>
      </c>
      <c r="D25" s="39"/>
      <c r="E25" s="39"/>
      <c r="F25" s="39"/>
      <c r="G25" s="39" t="str" cm="1">
        <f t="array" ref="G25">IntelHexChecksum(RIGHT(C25,40))</f>
        <v>33</v>
      </c>
      <c r="H25" s="39"/>
      <c r="I25" s="39"/>
      <c r="J25" s="44"/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s="102" cm="1">
        <f t="array" ref="AQ25">ROUND(PQ2nits((20*$AO25)/(2055+31*65)),3)</f>
        <v>0.31</v>
      </c>
    </row>
    <row r="26" spans="2:54" x14ac:dyDescent="0.3">
      <c r="B26" s="52" t="s">
        <v>175</v>
      </c>
      <c r="C26" s="91" t="str">
        <f t="shared" si="2"/>
        <v>:1074900003e305c301e200fbe40f00c018e60607</v>
      </c>
      <c r="D26" s="39"/>
      <c r="E26" s="39"/>
      <c r="F26" s="39"/>
      <c r="G26" s="39" t="str" cm="1">
        <f t="array" ref="G26">IntelHexChecksum(RIGHT(C26,40))</f>
        <v>A2</v>
      </c>
      <c r="H26" s="39"/>
      <c r="I26" s="39"/>
      <c r="J26" s="44"/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s="102" cm="1">
        <f t="array" ref="AQ26">ROUND(PQ2nits((20*$AO26)/(2055+31*65)),3)</f>
        <v>0.35299999999999998</v>
      </c>
    </row>
    <row r="27" spans="2:54" x14ac:dyDescent="0.3">
      <c r="B27" s="52" t="s">
        <v>5</v>
      </c>
      <c r="C27" s="91" t="str">
        <f t="shared" si="2"/>
        <v>:1074A00001000000eb0146d0004704495798A953</v>
      </c>
      <c r="D27" s="39"/>
      <c r="E27" s="39"/>
      <c r="F27" s="39"/>
      <c r="G27" s="39" t="str" cm="1">
        <f t="array" ref="G27">IntelHexChecksum(RIGHT(C27,40))</f>
        <v>5A</v>
      </c>
      <c r="H27" s="39"/>
      <c r="I27" s="39"/>
      <c r="J27" s="44"/>
      <c r="W27" s="97"/>
      <c r="X27" s="96"/>
      <c r="Y27" s="97"/>
      <c r="Z27" s="97"/>
      <c r="AA27" s="97"/>
      <c r="AB27" s="97"/>
      <c r="AC27" s="97"/>
      <c r="AD27" s="97"/>
      <c r="AE27" s="97"/>
      <c r="AF27" s="97"/>
      <c r="AG27" s="97"/>
      <c r="AH27" s="97"/>
      <c r="AI27" s="97"/>
      <c r="AJ27" s="97"/>
      <c r="AK27" s="97"/>
      <c r="AL27" s="97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s="102" cm="1">
        <f t="array" ref="AQ27">ROUND(PQ2nits((20*$AO27)/(2055+31*65)),3)</f>
        <v>0.39900000000000002</v>
      </c>
    </row>
    <row r="28" spans="2:54" x14ac:dyDescent="0.3">
      <c r="B28" s="52" t="s">
        <v>176</v>
      </c>
      <c r="C28" s="91" t="str">
        <f t="shared" si="2"/>
        <v>:1074B000011d007251d01e206e285500a2e28400</v>
      </c>
      <c r="D28" s="39"/>
      <c r="E28" s="39"/>
      <c r="F28" s="39"/>
      <c r="G28" s="39" t="str" cm="1">
        <f t="array" ref="G28">IntelHexChecksum(RIGHT(C28,40))</f>
        <v>EA</v>
      </c>
      <c r="H28" s="39"/>
      <c r="I28" s="39"/>
      <c r="J28" s="44"/>
      <c r="W28" s="97"/>
      <c r="X28" s="97"/>
      <c r="Y28" s="97"/>
      <c r="Z28" s="97"/>
      <c r="AA28" s="97"/>
      <c r="AB28" s="97"/>
      <c r="AC28" s="97"/>
      <c r="AD28" s="97"/>
      <c r="AE28" s="97"/>
      <c r="AF28" s="97"/>
      <c r="AG28" s="97"/>
      <c r="AH28" s="97"/>
      <c r="AI28" s="97"/>
      <c r="AJ28" s="97"/>
      <c r="AK28" s="97"/>
      <c r="AL28" s="97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s="102" cm="1">
        <f t="array" ref="AQ28">ROUND(PQ2nits((20*$AO28)/(2055+31*65)),3)</f>
        <v>0.45</v>
      </c>
    </row>
    <row r="29" spans="2:54" x14ac:dyDescent="0.3">
      <c r="B29" s="52" t="s">
        <v>177</v>
      </c>
      <c r="C29" s="91" t="str">
        <f t="shared" si="2"/>
        <v>:1074C000001e0000000000000000000000000000</v>
      </c>
      <c r="D29" s="39"/>
      <c r="E29" s="39"/>
      <c r="F29" s="39"/>
      <c r="G29" s="39" t="str" cm="1">
        <f t="array" ref="G29">IntelHexChecksum(RIGHT(C29,40))</f>
        <v>9E</v>
      </c>
      <c r="H29" s="39"/>
      <c r="I29" s="39"/>
      <c r="J29" s="44"/>
      <c r="W29" s="97"/>
      <c r="X29" s="97"/>
      <c r="Y29" s="97"/>
      <c r="Z29" s="97"/>
      <c r="AA29" s="97"/>
      <c r="AB29" s="97"/>
      <c r="AC29" s="97"/>
      <c r="AD29" s="97"/>
      <c r="AE29" s="97"/>
      <c r="AF29" s="97"/>
      <c r="AG29" s="97"/>
      <c r="AH29" s="97"/>
      <c r="AI29" s="97"/>
      <c r="AJ29" s="97"/>
      <c r="AK29" s="97"/>
      <c r="AL29" s="96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s="102" cm="1">
        <f t="array" ref="AQ29">ROUND(PQ2nits((20*$AO29)/(2055+31*65)),3)</f>
        <v>0.50600000000000001</v>
      </c>
    </row>
    <row r="30" spans="2:54" ht="15" thickBot="1" x14ac:dyDescent="0.35">
      <c r="B30" s="94" t="s">
        <v>178</v>
      </c>
      <c r="C30" s="95" t="str">
        <f>_xlfn.CONCAT(":10",RIGHT(B30,4),"00",AK22:AL22,"00FFFFFFFFFFFF00371801000100")</f>
        <v>:1074D000007f00FFFFFFFFFFFF00371801000100</v>
      </c>
      <c r="D30" s="47"/>
      <c r="E30" s="47"/>
      <c r="F30" s="47"/>
      <c r="G30" s="47" t="str" cm="1">
        <f t="array" ref="G30">IntelHexChecksum(RIGHT(C30,40))</f>
        <v>E2</v>
      </c>
      <c r="H30" s="47"/>
      <c r="I30" s="47"/>
      <c r="J30" s="48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s="102" cm="1">
        <f t="array" ref="AQ30">ROUND(PQ2nits((20*$AO30)/(2055+31*65)),3)</f>
        <v>0.56599999999999995</v>
      </c>
    </row>
    <row r="31" spans="2:54" x14ac:dyDescent="0.3">
      <c r="B31" s="92"/>
      <c r="C31" s="93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s="102" cm="1">
        <f t="array" ref="AQ31">ROUND(PQ2nits((20*$AO31)/(2055+31*65)),3)</f>
        <v>0.63100000000000001</v>
      </c>
    </row>
    <row r="32" spans="2:54" x14ac:dyDescent="0.3">
      <c r="B32" s="92"/>
      <c r="C32" s="93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s="102" cm="1">
        <f t="array" ref="AQ32">ROUND(PQ2nits((20*$AO32)/(2055+31*65)),3)</f>
        <v>0.70199999999999996</v>
      </c>
    </row>
    <row r="33" spans="2:55" x14ac:dyDescent="0.3">
      <c r="B33" s="92" t="s">
        <v>289</v>
      </c>
      <c r="C33" s="93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s="102" cm="1">
        <f t="array" ref="AQ33">ROUND(PQ2nits((20*$AO33)/(2055+31*65)),3)</f>
        <v>0.77900000000000003</v>
      </c>
    </row>
    <row r="34" spans="2:55" x14ac:dyDescent="0.3">
      <c r="B34" s="92"/>
      <c r="C34" s="93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s="102" cm="1">
        <f t="array" ref="AQ34">ROUND(PQ2nits((20*$AO34)/(2055+31*65)),3)</f>
        <v>0.86199999999999999</v>
      </c>
    </row>
    <row r="35" spans="2:55" x14ac:dyDescent="0.3">
      <c r="B35" s="92"/>
      <c r="C35" s="93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s="102" cm="1">
        <f t="array" ref="AQ35">ROUND(PQ2nits((20*$AO35)/(2055+31*65)),3)</f>
        <v>0.95099999999999996</v>
      </c>
    </row>
    <row r="36" spans="2:55" x14ac:dyDescent="0.3">
      <c r="B36" s="92"/>
      <c r="C36" s="93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s="102" cm="1">
        <f t="array" ref="AQ36">ROUND(PQ2nits((20*$AO36)/(2055+31*65)),3)</f>
        <v>1.048</v>
      </c>
    </row>
    <row r="37" spans="2:55" x14ac:dyDescent="0.3">
      <c r="B37" s="92"/>
      <c r="C37" s="93"/>
    </row>
    <row r="38" spans="2:55" x14ac:dyDescent="0.3">
      <c r="B38" s="92"/>
      <c r="C38" s="93"/>
    </row>
    <row r="39" spans="2:55" x14ac:dyDescent="0.3">
      <c r="B39" s="92"/>
      <c r="C39" s="93"/>
    </row>
    <row r="40" spans="2:55" x14ac:dyDescent="0.3"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</row>
    <row r="41" spans="2:55" x14ac:dyDescent="0.3"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</row>
    <row r="42" spans="2:55" x14ac:dyDescent="0.3"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</row>
    <row r="43" spans="2:55" x14ac:dyDescent="0.3"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</row>
    <row r="44" spans="2:55" x14ac:dyDescent="0.3"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</row>
    <row r="45" spans="2:55" x14ac:dyDescent="0.3"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</row>
    <row r="46" spans="2:55" x14ac:dyDescent="0.3"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</row>
    <row r="47" spans="2:55" x14ac:dyDescent="0.3"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</row>
    <row r="48" spans="2:55" x14ac:dyDescent="0.3"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</row>
    <row r="49" spans="23:39" x14ac:dyDescent="0.3"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</row>
    <row r="50" spans="23:39" x14ac:dyDescent="0.3"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</row>
    <row r="51" spans="23:39" x14ac:dyDescent="0.3"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</row>
    <row r="52" spans="23:39" x14ac:dyDescent="0.3"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</row>
    <row r="53" spans="23:39" x14ac:dyDescent="0.3"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</row>
    <row r="54" spans="23:39" x14ac:dyDescent="0.3"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9" priority="4">
      <formula>$E$7="Not Supported"</formula>
    </cfRule>
  </conditionalFormatting>
  <conditionalFormatting sqref="N7">
    <cfRule type="expression" dxfId="18" priority="3">
      <formula>$P$7="Supported"</formula>
    </cfRule>
  </conditionalFormatting>
  <conditionalFormatting sqref="P7">
    <cfRule type="expression" dxfId="17" priority="2">
      <formula>$N$7="Supported"</formula>
    </cfRule>
  </conditionalFormatting>
  <conditionalFormatting sqref="N7 P7">
    <cfRule type="expression" dxfId="16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EC8F9F5D-564A-40B2-ACB1-D47B108EB4BF}">
      <formula1>$AN$5:$AN$36</formula1>
    </dataValidation>
    <dataValidation type="list" allowBlank="1" showInputMessage="1" showErrorMessage="1" sqref="I7" xr:uid="{DB33F395-C53F-4826-8645-E548D988C677}">
      <formula1>$AR$5:$AR$9</formula1>
    </dataValidation>
    <dataValidation type="list" allowBlank="1" showInputMessage="1" showErrorMessage="1" sqref="I3" xr:uid="{F6CB9B29-59C4-4D24-9517-EC189A7207A6}">
      <formula1>$AU$15:$AU$17</formula1>
    </dataValidation>
    <dataValidation type="list" allowBlank="1" showInputMessage="1" showErrorMessage="1" sqref="L7" xr:uid="{ABC5BBEB-044B-4665-A2D3-E58A43BB1226}">
      <formula1>$AU$5:$AU$8</formula1>
    </dataValidation>
    <dataValidation type="list" allowBlank="1" showInputMessage="1" showErrorMessage="1" sqref="E7:F7 H7 N7 P7" xr:uid="{B0F66616-67E3-43D6-A033-5379FED416E6}">
      <formula1>"Supported, Not Supported"</formula1>
    </dataValidation>
    <dataValidation type="list" allowBlank="1" showInputMessage="1" showErrorMessage="1" sqref="G7" xr:uid="{E88395DD-DB27-421C-B99A-7C16C4ACAE3C}">
      <formula1>$AQ$5:$AQ$36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586740</xdr:colOff>
                    <xdr:row>10</xdr:row>
                    <xdr:rowOff>106680</xdr:rowOff>
                  </from>
                  <to>
                    <xdr:col>13</xdr:col>
                    <xdr:colOff>350520</xdr:colOff>
                    <xdr:row>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GetInputFile">
                <anchor moveWithCells="1" sizeWithCells="1">
                  <from>
                    <xdr:col>1</xdr:col>
                    <xdr:colOff>769620</xdr:colOff>
                    <xdr:row>8</xdr:row>
                    <xdr:rowOff>182880</xdr:rowOff>
                  </from>
                  <to>
                    <xdr:col>1</xdr:col>
                    <xdr:colOff>1013460</xdr:colOff>
                    <xdr:row>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SetOutputFile">
                <anchor moveWithCells="1" sizeWithCells="1">
                  <from>
                    <xdr:col>1</xdr:col>
                    <xdr:colOff>769620</xdr:colOff>
                    <xdr:row>9</xdr:row>
                    <xdr:rowOff>175260</xdr:rowOff>
                  </from>
                  <to>
                    <xdr:col>1</xdr:col>
                    <xdr:colOff>1013460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21D48-A873-4D86-87F7-FE70A442C12F}">
  <sheetPr codeName="Sheet11"/>
  <dimension ref="B2:BC54"/>
  <sheetViews>
    <sheetView zoomScale="90" zoomScaleNormal="90" workbookViewId="0">
      <selection activeCell="G35" sqref="G35"/>
    </sheetView>
  </sheetViews>
  <sheetFormatPr defaultRowHeight="14.4" x14ac:dyDescent="0.3"/>
  <cols>
    <col min="2" max="2" width="14.21875" customWidth="1"/>
    <col min="3" max="3" width="7.44140625" customWidth="1"/>
    <col min="4" max="4" width="11" customWidth="1"/>
    <col min="5" max="5" width="12.77734375" customWidth="1"/>
    <col min="6" max="6" width="15.33203125" customWidth="1"/>
    <col min="7" max="7" width="8.88671875" customWidth="1"/>
    <col min="8" max="8" width="12" customWidth="1"/>
    <col min="9" max="9" width="10" customWidth="1"/>
    <col min="10" max="10" width="12.6640625" customWidth="1"/>
    <col min="11" max="11" width="9.21875" customWidth="1"/>
    <col min="12" max="12" width="16.21875" customWidth="1"/>
    <col min="13" max="13" width="10" customWidth="1"/>
    <col min="14" max="14" width="13.21875" customWidth="1"/>
    <col min="15" max="15" width="8.44140625" customWidth="1"/>
    <col min="16" max="16" width="12.88671875" customWidth="1"/>
    <col min="17" max="20" width="7.44140625" customWidth="1"/>
    <col min="21" max="21" width="12.5546875" customWidth="1"/>
    <col min="22" max="22" width="7.44140625" customWidth="1"/>
    <col min="23" max="38" width="4.33203125" customWidth="1"/>
    <col min="47" max="47" width="24.5546875" customWidth="1"/>
  </cols>
  <sheetData>
    <row r="2" spans="2:54" ht="15" thickBot="1" x14ac:dyDescent="0.35"/>
    <row r="3" spans="2:54" ht="15" thickBot="1" x14ac:dyDescent="0.35">
      <c r="H3" s="35" t="s">
        <v>31</v>
      </c>
      <c r="I3" s="37" t="s">
        <v>307</v>
      </c>
      <c r="W3" s="65" t="s">
        <v>163</v>
      </c>
    </row>
    <row r="4" spans="2:54" ht="15" thickBot="1" x14ac:dyDescent="0.35">
      <c r="M4" t="s">
        <v>304</v>
      </c>
      <c r="O4" t="s">
        <v>304</v>
      </c>
      <c r="Q4" t="s">
        <v>304</v>
      </c>
      <c r="S4" t="s">
        <v>304</v>
      </c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61" t="s">
        <v>66</v>
      </c>
      <c r="C5" s="106" t="str">
        <f>DEC2HEX(_xlfn.BITLSHIFT(BIN2DEC(C8),5)+_xlfn.BITLSHIFT(BIN2DEC(D8),2)+_xlfn.BITLSHIFT(BIN2DEC(E8),1)+BIN2DEC(F8))</f>
        <v>44</v>
      </c>
      <c r="D5" s="106"/>
      <c r="E5" s="106"/>
      <c r="F5" s="107"/>
      <c r="G5" s="108" t="str">
        <f>DEC2HEX(_xlfn.BITLSHIFT(BIN2DEC(G8),3)+_xlfn.BITLSHIFT(BIN2DEC(H8),2)+BIN2DEC(I8),2)</f>
        <v>03</v>
      </c>
      <c r="H5" s="104"/>
      <c r="I5" s="105"/>
      <c r="J5" s="108" t="str">
        <f>DEC2HEX(_xlfn.BITLSHIFT(BIN2DEC(J8),3)+_xlfn.BITLSHIFT(BIN2DEC(K8),1)+BIN2DEC(L8),2)</f>
        <v>48</v>
      </c>
      <c r="K5" s="104"/>
      <c r="L5" s="105"/>
      <c r="M5" s="104" t="str">
        <f>BIN2HEX(_xlfn.CONCAT(M8,N8),2)</f>
        <v>72</v>
      </c>
      <c r="N5" s="105"/>
      <c r="O5" s="104" t="str">
        <f>BIN2HEX(_xlfn.CONCAT(O8,P8),2)</f>
        <v>72</v>
      </c>
      <c r="P5" s="105"/>
      <c r="Q5" s="104" t="str">
        <f>BIN2HEX(_xlfn.CONCAT(Q8,R8),2)</f>
        <v>9F</v>
      </c>
      <c r="R5" s="105"/>
      <c r="S5" s="104" t="str">
        <f>BIN2HEX(_xlfn.CONCAT(S8,T8),2)</f>
        <v>68</v>
      </c>
      <c r="T5" s="105"/>
      <c r="W5" s="84">
        <v>0</v>
      </c>
      <c r="X5" s="85">
        <v>1</v>
      </c>
      <c r="Y5" s="85">
        <v>2</v>
      </c>
      <c r="Z5" s="85">
        <v>3</v>
      </c>
      <c r="AA5" s="85">
        <v>4</v>
      </c>
      <c r="AB5" s="85">
        <v>5</v>
      </c>
      <c r="AC5" s="85">
        <v>6</v>
      </c>
      <c r="AD5" s="85">
        <v>7</v>
      </c>
      <c r="AE5" s="85">
        <v>8</v>
      </c>
      <c r="AF5" s="85">
        <v>9</v>
      </c>
      <c r="AG5" s="85">
        <v>10</v>
      </c>
      <c r="AH5" s="85">
        <v>11</v>
      </c>
      <c r="AI5" s="85">
        <v>12</v>
      </c>
      <c r="AJ5" s="85">
        <v>13</v>
      </c>
      <c r="AK5" s="85">
        <v>14</v>
      </c>
      <c r="AL5" s="86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s="102" cm="1">
        <f t="array" ref="AQ5">ROUND(PQ2nits((20*$AO5)/(2055+31*65)),3)</f>
        <v>0</v>
      </c>
      <c r="AR5" s="12" t="s">
        <v>22</v>
      </c>
      <c r="AS5" s="11" t="s">
        <v>7</v>
      </c>
      <c r="AU5" s="13" t="s">
        <v>35</v>
      </c>
      <c r="AV5" s="6" t="s">
        <v>7</v>
      </c>
    </row>
    <row r="6" spans="2:54" ht="30.75" customHeight="1" x14ac:dyDescent="0.3">
      <c r="B6" s="60" t="s">
        <v>67</v>
      </c>
      <c r="C6" s="56" t="s">
        <v>10</v>
      </c>
      <c r="D6" s="30" t="s">
        <v>12</v>
      </c>
      <c r="E6" s="31" t="s">
        <v>17</v>
      </c>
      <c r="F6" s="32" t="s">
        <v>8</v>
      </c>
      <c r="G6" s="33" t="s">
        <v>60</v>
      </c>
      <c r="H6" s="31" t="s">
        <v>40</v>
      </c>
      <c r="I6" s="34" t="s">
        <v>59</v>
      </c>
      <c r="J6" s="33" t="s">
        <v>61</v>
      </c>
      <c r="K6" s="30" t="s">
        <v>11</v>
      </c>
      <c r="L6" s="32" t="s">
        <v>37</v>
      </c>
      <c r="M6" s="30" t="s">
        <v>58</v>
      </c>
      <c r="N6" s="32" t="s">
        <v>24</v>
      </c>
      <c r="O6" s="30" t="s">
        <v>57</v>
      </c>
      <c r="P6" s="32" t="s">
        <v>23</v>
      </c>
      <c r="Q6" s="30" t="s">
        <v>56</v>
      </c>
      <c r="R6" s="32" t="s">
        <v>14</v>
      </c>
      <c r="S6" s="30" t="s">
        <v>55</v>
      </c>
      <c r="T6" s="32" t="s">
        <v>13</v>
      </c>
      <c r="V6" s="65" t="s">
        <v>68</v>
      </c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s="102" cm="1">
        <f t="array" ref="AQ6">ROUND(PQ2nits((20*$AO6)/(2055+31*65)),3)</f>
        <v>1E-3</v>
      </c>
      <c r="AR6" s="12" t="s">
        <v>21</v>
      </c>
      <c r="AS6" s="11" t="s">
        <v>6</v>
      </c>
      <c r="AU6" s="13" t="s">
        <v>36</v>
      </c>
      <c r="AV6" s="6" t="s">
        <v>6</v>
      </c>
    </row>
    <row r="7" spans="2:54" x14ac:dyDescent="0.3">
      <c r="B7" s="59"/>
      <c r="C7" s="57">
        <v>2</v>
      </c>
      <c r="D7" s="10" t="s">
        <v>20</v>
      </c>
      <c r="E7" s="14" t="s">
        <v>19</v>
      </c>
      <c r="F7" s="14" t="s">
        <v>19</v>
      </c>
      <c r="G7" s="103">
        <v>0</v>
      </c>
      <c r="H7" s="14" t="s">
        <v>19</v>
      </c>
      <c r="I7" s="15" t="s">
        <v>27</v>
      </c>
      <c r="J7" s="26">
        <v>385</v>
      </c>
      <c r="K7" s="27">
        <v>0</v>
      </c>
      <c r="L7" s="16" t="s">
        <v>35</v>
      </c>
      <c r="M7" s="23" t="s">
        <v>307</v>
      </c>
      <c r="N7" s="36" t="s">
        <v>19</v>
      </c>
      <c r="O7" s="23" t="s">
        <v>307</v>
      </c>
      <c r="P7" s="36" t="s">
        <v>19</v>
      </c>
      <c r="Q7" s="23" t="s">
        <v>307</v>
      </c>
      <c r="R7" s="23" t="s">
        <v>307</v>
      </c>
      <c r="S7" s="23" t="s">
        <v>307</v>
      </c>
      <c r="T7" s="23" t="s">
        <v>307</v>
      </c>
      <c r="V7" s="63"/>
      <c r="W7" s="63" t="s">
        <v>7</v>
      </c>
      <c r="X7" s="63" t="s">
        <v>127</v>
      </c>
      <c r="Y7" s="63" t="s">
        <v>127</v>
      </c>
      <c r="Z7" s="63" t="s">
        <v>127</v>
      </c>
      <c r="AA7" s="63" t="s">
        <v>127</v>
      </c>
      <c r="AB7" s="63" t="s">
        <v>127</v>
      </c>
      <c r="AC7" s="63" t="s">
        <v>127</v>
      </c>
      <c r="AD7" s="63" t="s">
        <v>7</v>
      </c>
      <c r="AE7" s="63" t="s">
        <v>130</v>
      </c>
      <c r="AF7" s="63" t="s">
        <v>200</v>
      </c>
      <c r="AG7" s="63" t="s">
        <v>145</v>
      </c>
      <c r="AH7" s="63" t="s">
        <v>7</v>
      </c>
      <c r="AI7" s="63" t="s">
        <v>6</v>
      </c>
      <c r="AJ7" s="63" t="s">
        <v>7</v>
      </c>
      <c r="AK7" s="63" t="s">
        <v>7</v>
      </c>
      <c r="AL7" s="63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s="102" cm="1">
        <f t="array" ref="AQ7">ROUND(PQ2nits((20*$AO7)/(2055+31*65)),3)</f>
        <v>2E-3</v>
      </c>
      <c r="AR7" s="12" t="s">
        <v>26</v>
      </c>
      <c r="AS7" s="11" t="s">
        <v>28</v>
      </c>
      <c r="AU7" s="13" t="s">
        <v>38</v>
      </c>
      <c r="AV7" s="6" t="s">
        <v>28</v>
      </c>
    </row>
    <row r="8" spans="2:54" s="7" customFormat="1" ht="15" thickBot="1" x14ac:dyDescent="0.35">
      <c r="B8" s="62"/>
      <c r="C8" s="58" t="s">
        <v>15</v>
      </c>
      <c r="D8" s="17" t="s">
        <v>16</v>
      </c>
      <c r="E8" s="18">
        <f>IF(EXACT(E7,"Supported"),1,0)</f>
        <v>0</v>
      </c>
      <c r="F8" s="18">
        <f>IF(EXACT(F7,"Supported"),1,0)</f>
        <v>0</v>
      </c>
      <c r="G8" s="20" t="str">
        <f>DEC2BIN(_xlfn.XLOOKUP(G7,AQ5:AQ36,AO5:AO36),5)</f>
        <v>00000</v>
      </c>
      <c r="H8" s="18">
        <f>IF(EXACT(H7,"Supported"),1,0)</f>
        <v>0</v>
      </c>
      <c r="I8" s="19" t="str">
        <f>IF(EXACT(E7,"Not Supported"),"11",INDEX(AS5:AS8,MATCH(I7,AR5:AR8,0)))</f>
        <v>11</v>
      </c>
      <c r="J8" s="20" t="str">
        <f>DEC2BIN(VLOOKUP(J7,AN5:AO36,2),5)</f>
        <v>01001</v>
      </c>
      <c r="K8" s="28">
        <v>0</v>
      </c>
      <c r="L8" s="19" t="str">
        <f>VLOOKUP(L7,AU5:AV8,2)</f>
        <v>00</v>
      </c>
      <c r="M8" s="29">
        <v>111001</v>
      </c>
      <c r="N8" s="21">
        <f>IF(AND(EXACT(N7,"Supported"),EXACT(P7,"Not Supported")),1,0)</f>
        <v>0</v>
      </c>
      <c r="O8" s="29">
        <v>111001</v>
      </c>
      <c r="P8" s="21">
        <f>IF(AND(EXACT(P7,"Supported"),EXACT(N7,"Not Supported")),1,0)</f>
        <v>0</v>
      </c>
      <c r="Q8" s="20">
        <v>10011</v>
      </c>
      <c r="R8" s="19">
        <v>111</v>
      </c>
      <c r="S8" s="100" t="s">
        <v>305</v>
      </c>
      <c r="T8" s="101" t="s">
        <v>306</v>
      </c>
      <c r="V8" s="63"/>
      <c r="W8" s="63" t="s">
        <v>100</v>
      </c>
      <c r="X8" s="63" t="s">
        <v>72</v>
      </c>
      <c r="Y8" s="63" t="s">
        <v>6</v>
      </c>
      <c r="Z8" s="63" t="s">
        <v>89</v>
      </c>
      <c r="AA8" s="63" t="s">
        <v>112</v>
      </c>
      <c r="AB8" s="63" t="s">
        <v>131</v>
      </c>
      <c r="AC8" s="63" t="s">
        <v>132</v>
      </c>
      <c r="AD8" s="63" t="s">
        <v>113</v>
      </c>
      <c r="AE8" s="63" t="s">
        <v>117</v>
      </c>
      <c r="AF8" s="63" t="s">
        <v>133</v>
      </c>
      <c r="AG8" s="63" t="s">
        <v>134</v>
      </c>
      <c r="AH8" s="63" t="s">
        <v>129</v>
      </c>
      <c r="AI8" s="63" t="s">
        <v>108</v>
      </c>
      <c r="AJ8" s="63" t="s">
        <v>135</v>
      </c>
      <c r="AK8" s="63" t="s">
        <v>136</v>
      </c>
      <c r="AL8" s="63" t="s">
        <v>137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s="102" cm="1">
        <f t="array" ref="AQ8">ROUND(PQ2nits((20*$AO8)/(2055+31*65)),3)</f>
        <v>5.0000000000000001E-3</v>
      </c>
      <c r="AR8" s="11" t="s">
        <v>27</v>
      </c>
      <c r="AS8" s="11" t="s">
        <v>29</v>
      </c>
      <c r="AU8" s="13" t="s">
        <v>39</v>
      </c>
      <c r="AV8" s="8" t="s">
        <v>29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3"/>
      <c r="W9" s="63" t="s">
        <v>138</v>
      </c>
      <c r="X9" s="63" t="s">
        <v>139</v>
      </c>
      <c r="Y9" s="63" t="s">
        <v>135</v>
      </c>
      <c r="Z9" s="63" t="s">
        <v>7</v>
      </c>
      <c r="AA9" s="63" t="s">
        <v>7</v>
      </c>
      <c r="AB9" s="63" t="s">
        <v>7</v>
      </c>
      <c r="AC9" s="63" t="s">
        <v>6</v>
      </c>
      <c r="AD9" s="63" t="s">
        <v>6</v>
      </c>
      <c r="AE9" s="63" t="s">
        <v>6</v>
      </c>
      <c r="AF9" s="63" t="s">
        <v>127</v>
      </c>
      <c r="AG9" s="63" t="s">
        <v>6</v>
      </c>
      <c r="AH9" s="63" t="s">
        <v>127</v>
      </c>
      <c r="AI9" s="63" t="s">
        <v>127</v>
      </c>
      <c r="AJ9" s="63" t="s">
        <v>6</v>
      </c>
      <c r="AK9" s="63" t="s">
        <v>6</v>
      </c>
      <c r="AL9" s="63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s="102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9" t="s">
        <v>63</v>
      </c>
      <c r="C10" s="40" t="s">
        <v>301</v>
      </c>
      <c r="D10" s="41"/>
      <c r="E10" s="41"/>
      <c r="F10" s="41"/>
      <c r="G10" s="41"/>
      <c r="H10" s="41"/>
      <c r="I10" s="41"/>
      <c r="J10" s="42"/>
      <c r="K10" s="9"/>
      <c r="L10" s="9"/>
      <c r="M10" s="9"/>
      <c r="N10" s="9"/>
      <c r="O10" s="9" t="s">
        <v>303</v>
      </c>
      <c r="P10" s="9"/>
      <c r="Q10" s="9"/>
      <c r="R10" s="9"/>
      <c r="S10" s="9"/>
      <c r="T10" s="9"/>
      <c r="U10" s="9"/>
      <c r="V10" s="63"/>
      <c r="W10" s="63" t="s">
        <v>6</v>
      </c>
      <c r="X10" s="63" t="s">
        <v>6</v>
      </c>
      <c r="Y10" s="63" t="s">
        <v>6</v>
      </c>
      <c r="Z10" s="63" t="s">
        <v>6</v>
      </c>
      <c r="AA10" s="63" t="s">
        <v>6</v>
      </c>
      <c r="AB10" s="63" t="s">
        <v>102</v>
      </c>
      <c r="AC10" s="63" t="s">
        <v>140</v>
      </c>
      <c r="AD10" s="63" t="s">
        <v>144</v>
      </c>
      <c r="AE10" s="63" t="s">
        <v>7</v>
      </c>
      <c r="AF10" s="63" t="s">
        <v>145</v>
      </c>
      <c r="AG10" s="63" t="s">
        <v>71</v>
      </c>
      <c r="AH10" s="63" t="s">
        <v>146</v>
      </c>
      <c r="AI10" s="63" t="s">
        <v>147</v>
      </c>
      <c r="AJ10" s="63" t="s">
        <v>112</v>
      </c>
      <c r="AK10" s="63" t="s">
        <v>136</v>
      </c>
      <c r="AL10" s="63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s="102" cm="1">
        <f t="array" ref="AQ10">ROUND(PQ2nits((20*$AO10)/(2055+31*65)),3)</f>
        <v>1.2999999999999999E-2</v>
      </c>
      <c r="AR10" s="5"/>
    </row>
    <row r="11" spans="2:54" ht="15" thickBot="1" x14ac:dyDescent="0.35">
      <c r="B11" s="50" t="s">
        <v>64</v>
      </c>
      <c r="C11" s="38" t="s">
        <v>302</v>
      </c>
      <c r="D11" s="9"/>
      <c r="E11" s="9"/>
      <c r="F11" s="9"/>
      <c r="G11" s="9"/>
      <c r="H11" s="9"/>
      <c r="I11" s="9"/>
      <c r="J11" s="43"/>
      <c r="K11" s="9"/>
      <c r="L11" s="9"/>
      <c r="M11" s="9"/>
      <c r="N11" s="9"/>
      <c r="O11" s="99" t="s">
        <v>308</v>
      </c>
      <c r="P11" s="9"/>
      <c r="Q11" s="9"/>
      <c r="R11" s="9"/>
      <c r="S11" s="9"/>
      <c r="T11" s="9"/>
      <c r="U11" s="9"/>
      <c r="V11" s="63"/>
      <c r="W11" s="63" t="s">
        <v>119</v>
      </c>
      <c r="X11" s="63" t="s">
        <v>7</v>
      </c>
      <c r="Y11" s="63" t="s">
        <v>87</v>
      </c>
      <c r="Z11" s="63" t="s">
        <v>123</v>
      </c>
      <c r="AA11" s="63" t="s">
        <v>125</v>
      </c>
      <c r="AB11" s="63" t="s">
        <v>7</v>
      </c>
      <c r="AC11" s="63" t="s">
        <v>7</v>
      </c>
      <c r="AD11" s="63" t="s">
        <v>77</v>
      </c>
      <c r="AE11" s="63" t="s">
        <v>88</v>
      </c>
      <c r="AF11" s="63" t="s">
        <v>150</v>
      </c>
      <c r="AG11" s="63" t="s">
        <v>112</v>
      </c>
      <c r="AH11" s="63" t="s">
        <v>126</v>
      </c>
      <c r="AI11" s="63" t="s">
        <v>151</v>
      </c>
      <c r="AJ11" s="63" t="s">
        <v>111</v>
      </c>
      <c r="AK11" s="63" t="s">
        <v>121</v>
      </c>
      <c r="AL11" s="63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s="102" cm="1">
        <f t="array" ref="AQ11">ROUND(PQ2nits((20*$AO11)/(2055+31*65)),3)</f>
        <v>1.9E-2</v>
      </c>
      <c r="AR11" s="5"/>
    </row>
    <row r="12" spans="2:54" x14ac:dyDescent="0.3">
      <c r="B12" s="53" t="s">
        <v>0</v>
      </c>
      <c r="C12" s="54" t="str">
        <f>_xlfn.CONCAT(B5:T5)</f>
        <v>EB0146D00044034872729F68</v>
      </c>
      <c r="D12" s="54"/>
      <c r="E12" s="54"/>
      <c r="F12" s="54"/>
      <c r="G12" s="54"/>
      <c r="H12" s="54"/>
      <c r="I12" s="54"/>
      <c r="J12" s="55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3"/>
      <c r="W12" s="63" t="s">
        <v>148</v>
      </c>
      <c r="X12" s="63" t="s">
        <v>152</v>
      </c>
      <c r="Y12" s="63" t="s">
        <v>142</v>
      </c>
      <c r="Z12" s="63" t="s">
        <v>7</v>
      </c>
      <c r="AA12" s="63" t="s">
        <v>87</v>
      </c>
      <c r="AB12" s="63" t="s">
        <v>123</v>
      </c>
      <c r="AC12" s="63" t="s">
        <v>125</v>
      </c>
      <c r="AD12" s="63" t="s">
        <v>7</v>
      </c>
      <c r="AE12" s="63" t="s">
        <v>7</v>
      </c>
      <c r="AF12" s="63" t="s">
        <v>77</v>
      </c>
      <c r="AG12" s="63" t="s">
        <v>7</v>
      </c>
      <c r="AH12" s="63" t="s">
        <v>7</v>
      </c>
      <c r="AI12" s="63" t="s">
        <v>7</v>
      </c>
      <c r="AJ12" s="63" t="s">
        <v>153</v>
      </c>
      <c r="AK12" s="63" t="s">
        <v>7</v>
      </c>
      <c r="AL12" s="63" t="s">
        <v>154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s="102" cm="1">
        <f t="array" ref="AQ12">ROUND(PQ2nits((20*$AO12)/(2055+31*65)),3)</f>
        <v>2.5999999999999999E-2</v>
      </c>
    </row>
    <row r="13" spans="2:54" x14ac:dyDescent="0.3">
      <c r="B13" s="51" t="s">
        <v>62</v>
      </c>
      <c r="C13" s="45" t="str" cm="1">
        <f t="array" ref="C13">EDIDCheckSum(C12)</f>
        <v>5E</v>
      </c>
      <c r="D13" s="39"/>
      <c r="E13" s="39"/>
      <c r="F13" s="39"/>
      <c r="G13" s="39"/>
      <c r="H13" s="39"/>
      <c r="I13" s="39"/>
      <c r="J13" s="44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3"/>
      <c r="W13" s="63" t="s">
        <v>90</v>
      </c>
      <c r="X13" s="63" t="s">
        <v>134</v>
      </c>
      <c r="Y13" s="63" t="s">
        <v>91</v>
      </c>
      <c r="Z13" s="63" t="s">
        <v>240</v>
      </c>
      <c r="AA13" s="63" t="s">
        <v>102</v>
      </c>
      <c r="AB13" s="63" t="s">
        <v>295</v>
      </c>
      <c r="AC13" s="63" t="s">
        <v>93</v>
      </c>
      <c r="AD13" s="63" t="s">
        <v>296</v>
      </c>
      <c r="AE13" s="63" t="s">
        <v>297</v>
      </c>
      <c r="AF13" s="63" t="s">
        <v>117</v>
      </c>
      <c r="AG13" s="63" t="s">
        <v>102</v>
      </c>
      <c r="AH13" s="63" t="s">
        <v>102</v>
      </c>
      <c r="AI13" s="63" t="s">
        <v>7</v>
      </c>
      <c r="AJ13" s="63" t="s">
        <v>7</v>
      </c>
      <c r="AK13" s="63" t="s">
        <v>7</v>
      </c>
      <c r="AL13" s="63" t="s">
        <v>158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s="102" cm="1">
        <f t="array" ref="AQ13">ROUND(PQ2nits((20*$AO13)/(2055+31*65)),3)</f>
        <v>3.5000000000000003E-2</v>
      </c>
    </row>
    <row r="14" spans="2:54" x14ac:dyDescent="0.3">
      <c r="B14" s="52" t="s">
        <v>164</v>
      </c>
      <c r="C14" s="91" t="str">
        <f>_xlfn.CONCAT(":1073D0000086",_xlfn.CONCAT(W7:AJ7))</f>
        <v>:1073D000008600ffffffffffff0019b830000100</v>
      </c>
      <c r="D14" s="39"/>
      <c r="E14" s="39"/>
      <c r="F14" s="39"/>
      <c r="G14" s="39" t="str" cm="1">
        <f t="array" ref="G14">IntelHexChecksum(RIGHT(C14,40))</f>
        <v>2B</v>
      </c>
      <c r="H14" s="39"/>
      <c r="I14" s="39"/>
      <c r="J14" s="44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3"/>
      <c r="W14" s="63" t="s">
        <v>7</v>
      </c>
      <c r="X14" s="63" t="s">
        <v>298</v>
      </c>
      <c r="Y14" s="63" t="s">
        <v>180</v>
      </c>
      <c r="Z14" s="63" t="s">
        <v>72</v>
      </c>
      <c r="AA14" s="63" t="s">
        <v>116</v>
      </c>
      <c r="AB14" s="63" t="s">
        <v>84</v>
      </c>
      <c r="AC14" s="63" t="s">
        <v>7</v>
      </c>
      <c r="AD14" s="63" t="s">
        <v>117</v>
      </c>
      <c r="AE14" s="63" t="s">
        <v>102</v>
      </c>
      <c r="AF14" s="63" t="s">
        <v>102</v>
      </c>
      <c r="AG14" s="63" t="s">
        <v>102</v>
      </c>
      <c r="AH14" s="63" t="s">
        <v>102</v>
      </c>
      <c r="AI14" s="63" t="s">
        <v>102</v>
      </c>
      <c r="AJ14" s="63" t="s">
        <v>102</v>
      </c>
      <c r="AK14" s="63" t="s">
        <v>6</v>
      </c>
      <c r="AL14" s="63" t="s">
        <v>145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s="102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52" t="s">
        <v>165</v>
      </c>
      <c r="C15" s="91" t="str">
        <f>_xlfn.CONCAT(":10",RIGHT(B15,4),"00",AK7:AL7,W8:AJ8)</f>
        <v>:1073E0000000141f0103807341780acf74a3574c</v>
      </c>
      <c r="D15" s="39"/>
      <c r="E15" s="39"/>
      <c r="F15" s="39"/>
      <c r="G15" s="39" t="str" cm="1">
        <f t="array" ref="G15">IntelHexChecksum(RIGHT(C15,40))</f>
        <v>27</v>
      </c>
      <c r="H15" s="39"/>
      <c r="I15" s="39"/>
      <c r="J15" s="44"/>
      <c r="V15" s="65" t="s">
        <v>69</v>
      </c>
      <c r="W15" s="63" t="s">
        <v>88</v>
      </c>
      <c r="X15" s="63" t="s">
        <v>89</v>
      </c>
      <c r="Y15" s="96" t="s">
        <v>299</v>
      </c>
      <c r="Z15" s="63" t="s">
        <v>256</v>
      </c>
      <c r="AA15" s="63" t="s">
        <v>197</v>
      </c>
      <c r="AB15" s="63" t="s">
        <v>96</v>
      </c>
      <c r="AC15" s="63" t="s">
        <v>193</v>
      </c>
      <c r="AD15" s="63" t="s">
        <v>89</v>
      </c>
      <c r="AE15" s="63" t="s">
        <v>6</v>
      </c>
      <c r="AF15" s="63" t="s">
        <v>98</v>
      </c>
      <c r="AG15" s="63" t="s">
        <v>99</v>
      </c>
      <c r="AH15" s="63" t="s">
        <v>100</v>
      </c>
      <c r="AI15" s="63" t="s">
        <v>101</v>
      </c>
      <c r="AJ15" s="63" t="s">
        <v>97</v>
      </c>
      <c r="AK15" s="63" t="s">
        <v>196</v>
      </c>
      <c r="AL15" s="63" t="s">
        <v>72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s="102" cm="1">
        <f t="array" ref="AQ15">ROUND(PQ2nits((20*$AO15)/(2055+31*65)),3)</f>
        <v>5.8000000000000003E-2</v>
      </c>
      <c r="AU15" s="6" t="s">
        <v>42</v>
      </c>
      <c r="AV15" s="22">
        <v>0.64</v>
      </c>
      <c r="AW15" s="22">
        <v>0.33</v>
      </c>
      <c r="AX15" s="22">
        <v>0.3</v>
      </c>
      <c r="AY15" s="22">
        <v>0.6</v>
      </c>
      <c r="AZ15" s="22">
        <v>0.15</v>
      </c>
      <c r="BA15" s="22">
        <v>0.06</v>
      </c>
      <c r="BB15" t="s">
        <v>53</v>
      </c>
    </row>
    <row r="16" spans="2:54" x14ac:dyDescent="0.3">
      <c r="B16" s="52" t="s">
        <v>166</v>
      </c>
      <c r="C16" s="91" t="str">
        <f t="shared" ref="C16:C29" si="2">_xlfn.CONCAT(":10",RIGHT(B16,4),"00",AK8:AL8,W9:AJ9)</f>
        <v>:1073F000b02309484c000000010101ff01ffff01</v>
      </c>
      <c r="D16" s="39"/>
      <c r="E16" s="39"/>
      <c r="F16" s="39"/>
      <c r="G16" s="39" t="str" cm="1">
        <f t="array" ref="G16">IntelHexChecksum(RIGHT(C16,40))</f>
        <v>1B</v>
      </c>
      <c r="H16" s="39"/>
      <c r="I16" s="39"/>
      <c r="J16" s="44"/>
      <c r="V16" s="63"/>
      <c r="W16" s="63" t="s">
        <v>102</v>
      </c>
      <c r="X16" s="63" t="s">
        <v>103</v>
      </c>
      <c r="Y16" s="63" t="s">
        <v>70</v>
      </c>
      <c r="Z16" s="63" t="s">
        <v>78</v>
      </c>
      <c r="AA16" s="63" t="s">
        <v>92</v>
      </c>
      <c r="AB16" s="63" t="s">
        <v>91</v>
      </c>
      <c r="AC16" s="63" t="s">
        <v>198</v>
      </c>
      <c r="AD16" s="63" t="s">
        <v>253</v>
      </c>
      <c r="AE16" s="63" t="s">
        <v>93</v>
      </c>
      <c r="AF16" s="63" t="s">
        <v>94</v>
      </c>
      <c r="AG16" s="63" t="s">
        <v>197</v>
      </c>
      <c r="AH16" s="63" t="s">
        <v>194</v>
      </c>
      <c r="AI16" s="63" t="s">
        <v>88</v>
      </c>
      <c r="AJ16" s="63" t="s">
        <v>114</v>
      </c>
      <c r="AK16" s="63" t="s">
        <v>29</v>
      </c>
      <c r="AL16" s="63" t="s">
        <v>107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s="102" cm="1">
        <f t="array" ref="AQ16">ROUND(PQ2nits((20*$AO16)/(2055+31*65)),3)</f>
        <v>7.1999999999999995E-2</v>
      </c>
      <c r="AU16" s="6" t="s">
        <v>43</v>
      </c>
      <c r="AV16" s="22">
        <v>0.70799999999999996</v>
      </c>
      <c r="AW16" s="22">
        <v>0.29199999999999998</v>
      </c>
      <c r="AX16" s="22">
        <v>0.17</v>
      </c>
      <c r="AY16" s="22">
        <v>0.79700000000000004</v>
      </c>
      <c r="AZ16" s="22">
        <v>0.13100000000000001</v>
      </c>
      <c r="BA16" s="22">
        <v>4.5999999999999999E-2</v>
      </c>
      <c r="BB16" t="s">
        <v>51</v>
      </c>
    </row>
    <row r="17" spans="2:54" x14ac:dyDescent="0.3">
      <c r="B17" s="52" t="s">
        <v>167</v>
      </c>
      <c r="C17" s="91" t="str">
        <f t="shared" si="2"/>
        <v>:10740000010101010101012008e80030f2705a80</v>
      </c>
      <c r="D17" s="39"/>
      <c r="E17" s="39"/>
      <c r="F17" s="39"/>
      <c r="G17" s="39" t="str" cm="1">
        <f t="array" ref="G17">IntelHexChecksum(RIGHT(C17,40))</f>
        <v>F9</v>
      </c>
      <c r="H17" s="39"/>
      <c r="I17" s="39"/>
      <c r="J17" s="44"/>
      <c r="V17" s="63"/>
      <c r="W17" s="63" t="s">
        <v>125</v>
      </c>
      <c r="X17" s="63" t="s">
        <v>73</v>
      </c>
      <c r="Y17" s="63" t="s">
        <v>104</v>
      </c>
      <c r="Z17" s="63" t="s">
        <v>105</v>
      </c>
      <c r="AA17" s="63" t="s">
        <v>138</v>
      </c>
      <c r="AB17" s="63" t="s">
        <v>75</v>
      </c>
      <c r="AC17" s="63" t="s">
        <v>97</v>
      </c>
      <c r="AD17" s="63" t="s">
        <v>107</v>
      </c>
      <c r="AE17" s="63" t="s">
        <v>97</v>
      </c>
      <c r="AF17" s="63" t="s">
        <v>106</v>
      </c>
      <c r="AG17" s="63" t="s">
        <v>274</v>
      </c>
      <c r="AH17" s="63" t="s">
        <v>95</v>
      </c>
      <c r="AI17" s="63" t="s">
        <v>6</v>
      </c>
      <c r="AJ17" s="63" t="s">
        <v>76</v>
      </c>
      <c r="AK17" s="63" t="s">
        <v>97</v>
      </c>
      <c r="AL17" s="63" t="s">
        <v>81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s="102" cm="1">
        <f t="array" ref="AQ17">ROUND(PQ2nits((20*$AO17)/(2055+31*65)),3)</f>
        <v>8.7999999999999995E-2</v>
      </c>
      <c r="AU17" s="6" t="s">
        <v>44</v>
      </c>
      <c r="AV17" s="22">
        <v>0.68</v>
      </c>
      <c r="AW17" s="22">
        <v>0.32</v>
      </c>
      <c r="AX17" s="22">
        <v>0.26500000000000001</v>
      </c>
      <c r="AY17" s="22">
        <v>0.69</v>
      </c>
      <c r="AZ17" s="22">
        <v>0.15</v>
      </c>
      <c r="BA17" s="22">
        <v>0.06</v>
      </c>
      <c r="BB17" t="s">
        <v>52</v>
      </c>
    </row>
    <row r="18" spans="2:54" x14ac:dyDescent="0.3">
      <c r="B18" s="52" t="s">
        <v>168</v>
      </c>
      <c r="C18" s="91" t="str">
        <f t="shared" si="2"/>
        <v>:10741000b0588a00c48e2100001e023a80187138</v>
      </c>
      <c r="D18" s="39"/>
      <c r="E18" s="39"/>
      <c r="F18" s="39"/>
      <c r="G18" s="39" t="str" cm="1">
        <f t="array" ref="G18">IntelHexChecksum(RIGHT(C18,40))</f>
        <v>CC</v>
      </c>
      <c r="H18" s="39"/>
      <c r="I18" s="39"/>
      <c r="J18" s="44"/>
      <c r="V18" s="63"/>
      <c r="W18" s="63" t="s">
        <v>78</v>
      </c>
      <c r="X18" s="63" t="s">
        <v>79</v>
      </c>
      <c r="Y18" s="63" t="s">
        <v>6</v>
      </c>
      <c r="Z18" s="63" t="s">
        <v>109</v>
      </c>
      <c r="AA18" s="63" t="s">
        <v>95</v>
      </c>
      <c r="AB18" s="63" t="s">
        <v>89</v>
      </c>
      <c r="AC18" s="63" t="s">
        <v>110</v>
      </c>
      <c r="AD18" s="63" t="s">
        <v>6</v>
      </c>
      <c r="AE18" s="63" t="s">
        <v>7</v>
      </c>
      <c r="AF18" s="63" t="s">
        <v>7</v>
      </c>
      <c r="AG18" s="63" t="s">
        <v>85</v>
      </c>
      <c r="AH18" s="63" t="s">
        <v>7</v>
      </c>
      <c r="AI18" s="63" t="s">
        <v>127</v>
      </c>
      <c r="AJ18" s="63" t="s">
        <v>82</v>
      </c>
      <c r="AK18" s="63" t="s">
        <v>89</v>
      </c>
      <c r="AL18" s="63" t="s">
        <v>83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s="102" cm="1">
        <f t="array" ref="AQ18">ROUND(PQ2nits((20*$AO18)/(2055+31*65)),3)</f>
        <v>0.106</v>
      </c>
      <c r="AU18" t="s">
        <v>307</v>
      </c>
    </row>
    <row r="19" spans="2:54" x14ac:dyDescent="0.3">
      <c r="B19" s="52" t="s">
        <v>169</v>
      </c>
      <c r="C19" s="91" t="str">
        <f t="shared" si="2"/>
        <v>:107420002d40582c4500c48e2100001e000000fc</v>
      </c>
      <c r="D19" s="39"/>
      <c r="E19" s="39"/>
      <c r="F19" s="39"/>
      <c r="G19" s="39" t="str" cm="1">
        <f t="array" ref="G19">IntelHexChecksum(RIGHT(C19,40))</f>
        <v>99</v>
      </c>
      <c r="H19" s="39"/>
      <c r="I19" s="39"/>
      <c r="J19" s="44"/>
      <c r="V19" s="63"/>
      <c r="W19" s="97" t="s">
        <v>7</v>
      </c>
      <c r="X19" s="97" t="s">
        <v>28</v>
      </c>
      <c r="Y19" s="97" t="s">
        <v>7</v>
      </c>
      <c r="Z19" s="97" t="s">
        <v>113</v>
      </c>
      <c r="AA19" s="97" t="s">
        <v>113</v>
      </c>
      <c r="AB19" s="97" t="s">
        <v>102</v>
      </c>
      <c r="AC19" s="97" t="s">
        <v>7</v>
      </c>
      <c r="AD19" s="97" t="s">
        <v>112</v>
      </c>
      <c r="AE19" s="97" t="s">
        <v>6</v>
      </c>
      <c r="AF19" s="97" t="s">
        <v>88</v>
      </c>
      <c r="AG19" s="97" t="s">
        <v>89</v>
      </c>
      <c r="AH19" s="97" t="s">
        <v>95</v>
      </c>
      <c r="AI19" s="97" t="s">
        <v>296</v>
      </c>
      <c r="AJ19" s="97" t="s">
        <v>86</v>
      </c>
      <c r="AK19" s="97" t="s">
        <v>70</v>
      </c>
      <c r="AL19" s="97" t="s">
        <v>87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s="102" cm="1">
        <f t="array" ref="AQ19">ROUND(PQ2nits((20*$AO19)/(2055+31*65)),3)</f>
        <v>0.127</v>
      </c>
    </row>
    <row r="20" spans="2:54" x14ac:dyDescent="0.3">
      <c r="B20" s="52" t="s">
        <v>170</v>
      </c>
      <c r="C20" s="91" t="str">
        <f t="shared" si="2"/>
        <v>:10743000004d537461722044656d6f0a20200000</v>
      </c>
      <c r="D20" s="39"/>
      <c r="E20" s="39"/>
      <c r="F20" s="39"/>
      <c r="G20" s="39" t="str" cm="1">
        <f t="array" ref="G20">IntelHexChecksum(RIGHT(C20,40))</f>
        <v>76</v>
      </c>
      <c r="H20" s="39"/>
      <c r="I20" s="39"/>
      <c r="J20" s="44"/>
      <c r="V20" s="63"/>
      <c r="W20" s="97" t="s">
        <v>6</v>
      </c>
      <c r="X20" s="97" t="s">
        <v>113</v>
      </c>
      <c r="Y20" s="97" t="s">
        <v>112</v>
      </c>
      <c r="Z20" s="97" t="s">
        <v>74</v>
      </c>
      <c r="AA20" s="97" t="s">
        <v>105</v>
      </c>
      <c r="AB20" s="97" t="s">
        <v>288</v>
      </c>
      <c r="AC20" s="97" t="s">
        <v>113</v>
      </c>
      <c r="AD20" s="97" t="s">
        <v>7</v>
      </c>
      <c r="AE20" s="97" t="s">
        <v>7</v>
      </c>
      <c r="AF20" s="97" t="s">
        <v>7</v>
      </c>
      <c r="AG20" s="97" t="s">
        <v>80</v>
      </c>
      <c r="AH20" s="97" t="s">
        <v>96</v>
      </c>
      <c r="AI20" s="97" t="s">
        <v>127</v>
      </c>
      <c r="AJ20" s="97" t="s">
        <v>6</v>
      </c>
      <c r="AK20" s="97" t="s">
        <v>204</v>
      </c>
      <c r="AL20" s="97" t="s">
        <v>74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s="102" cm="1">
        <f t="array" ref="AQ20">ROUND(PQ2nits((20*$AO20)/(2055+31*65)),3)</f>
        <v>0.15</v>
      </c>
    </row>
    <row r="21" spans="2:54" x14ac:dyDescent="0.3">
      <c r="B21" s="52" t="s">
        <v>171</v>
      </c>
      <c r="C21" s="91" t="str">
        <f t="shared" si="2"/>
        <v>:1074400000fd003b461f8c3c000a202020202020</v>
      </c>
      <c r="D21" s="39"/>
      <c r="E21" s="39"/>
      <c r="F21" s="39"/>
      <c r="G21" s="39" t="str" cm="1">
        <f t="array" ref="G21">IntelHexChecksum(RIGHT(C21,40))</f>
        <v>0D</v>
      </c>
      <c r="H21" s="39"/>
      <c r="I21" s="39"/>
      <c r="J21" s="44"/>
      <c r="V21" s="63"/>
      <c r="W21" s="63" t="s">
        <v>7</v>
      </c>
      <c r="X21" s="63" t="s">
        <v>112</v>
      </c>
      <c r="Y21" s="63" t="s">
        <v>130</v>
      </c>
      <c r="Z21" s="63" t="s">
        <v>7</v>
      </c>
      <c r="AA21" s="63" t="s">
        <v>287</v>
      </c>
      <c r="AB21" s="63" t="s">
        <v>114</v>
      </c>
      <c r="AC21" s="63" t="s">
        <v>97</v>
      </c>
      <c r="AD21" s="63" t="s">
        <v>6</v>
      </c>
      <c r="AE21" s="63" t="s">
        <v>137</v>
      </c>
      <c r="AF21" s="63" t="s">
        <v>7</v>
      </c>
      <c r="AG21" s="63" t="s">
        <v>84</v>
      </c>
      <c r="AH21" s="96" t="s">
        <v>205</v>
      </c>
      <c r="AI21" s="96" t="s">
        <v>6</v>
      </c>
      <c r="AJ21" s="96" t="s">
        <v>180</v>
      </c>
      <c r="AK21" s="96" t="s">
        <v>118</v>
      </c>
      <c r="AL21" s="96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s="102" cm="1">
        <f t="array" ref="AQ21">ROUND(PQ2nits((20*$AO21)/(2055+31*65)),3)</f>
        <v>0.17599999999999999</v>
      </c>
    </row>
    <row r="22" spans="2:54" x14ac:dyDescent="0.3">
      <c r="B22" s="52" t="s">
        <v>162</v>
      </c>
      <c r="C22" s="91" t="str">
        <f t="shared" si="2"/>
        <v>:107450000130020377f05e058403011213141607</v>
      </c>
      <c r="D22" s="39"/>
      <c r="E22" s="39"/>
      <c r="F22" s="39"/>
      <c r="G22" s="39" t="str" cm="1">
        <f t="array" ref="G22">IntelHexChecksum(RIGHT(C22,40))</f>
        <v>4E</v>
      </c>
      <c r="H22" s="39"/>
      <c r="I22" s="39"/>
      <c r="J22" s="44"/>
      <c r="V22" s="63"/>
      <c r="W22" s="98" t="str">
        <f>C5</f>
        <v>44</v>
      </c>
      <c r="X22" s="98" t="str">
        <f>G5</f>
        <v>03</v>
      </c>
      <c r="Y22" s="98" t="str">
        <f>J5</f>
        <v>48</v>
      </c>
      <c r="Z22" s="98" t="str">
        <f>M5</f>
        <v>72</v>
      </c>
      <c r="AA22" s="98" t="str">
        <f>O5</f>
        <v>72</v>
      </c>
      <c r="AB22" s="98" t="str">
        <f>Q5</f>
        <v>9F</v>
      </c>
      <c r="AC22" s="98" t="str">
        <f>S5</f>
        <v>68</v>
      </c>
      <c r="AD22" s="63" t="s">
        <v>7</v>
      </c>
      <c r="AE22" s="63" t="s">
        <v>7</v>
      </c>
      <c r="AF22" s="63" t="s">
        <v>7</v>
      </c>
      <c r="AG22" s="63" t="s">
        <v>7</v>
      </c>
      <c r="AH22" s="63" t="s">
        <v>7</v>
      </c>
      <c r="AI22" s="63" t="s">
        <v>7</v>
      </c>
      <c r="AJ22" s="63" t="s">
        <v>7</v>
      </c>
      <c r="AK22" s="63" t="s">
        <v>7</v>
      </c>
      <c r="AL22" s="96" t="s">
        <v>300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s="102" cm="1">
        <f t="array" ref="AQ22">ROUND(PQ2nits((20*$AO22)/(2055+31*65)),3)</f>
        <v>0.20399999999999999</v>
      </c>
    </row>
    <row r="23" spans="2:54" x14ac:dyDescent="0.3">
      <c r="B23" s="52" t="s">
        <v>172</v>
      </c>
      <c r="C23" s="91" t="str">
        <f t="shared" si="2"/>
        <v>:10746000901f20225d5f6061626465665e630206</v>
      </c>
      <c r="D23" s="39"/>
      <c r="E23" s="39"/>
      <c r="F23" s="39"/>
      <c r="G23" s="39" t="str" cm="1">
        <f t="array" ref="G23">IntelHexChecksum(RIGHT(C23,40))</f>
        <v>54</v>
      </c>
      <c r="H23" s="39"/>
      <c r="I23" s="39"/>
      <c r="J23" s="44"/>
      <c r="V23" s="63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s="102" cm="1">
        <f t="array" ref="AQ23">ROUND(PQ2nits((20*$AO23)/(2055+31*65)),3)</f>
        <v>0.23599999999999999</v>
      </c>
    </row>
    <row r="24" spans="2:54" x14ac:dyDescent="0.3">
      <c r="B24" s="52" t="s">
        <v>173</v>
      </c>
      <c r="C24" s="91" t="str">
        <f t="shared" si="2"/>
        <v>:107470001115213f4032097f071507505104013d</v>
      </c>
      <c r="D24" s="39"/>
      <c r="E24" s="39"/>
      <c r="F24" s="39"/>
      <c r="G24" s="39" t="str" cm="1">
        <f t="array" ref="G24">IntelHexChecksum(RIGHT(C24,40))</f>
        <v>86</v>
      </c>
      <c r="H24" s="39"/>
      <c r="I24" s="39"/>
      <c r="J24" s="44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s="102" cm="1">
        <f t="array" ref="AQ24">ROUND(PQ2nits((20*$AO24)/(2055+31*65)),3)</f>
        <v>0.27100000000000002</v>
      </c>
    </row>
    <row r="25" spans="2:54" x14ac:dyDescent="0.3">
      <c r="B25" s="52" t="s">
        <v>174</v>
      </c>
      <c r="C25" s="91" t="str">
        <f t="shared" si="2"/>
        <v>:1074800007c05f7e0167040383010000e200ff6e</v>
      </c>
      <c r="D25" s="39"/>
      <c r="E25" s="39"/>
      <c r="F25" s="39"/>
      <c r="G25" s="39" t="str" cm="1">
        <f t="array" ref="G25">IntelHexChecksum(RIGHT(C25,40))</f>
        <v>16</v>
      </c>
      <c r="H25" s="39"/>
      <c r="I25" s="39"/>
      <c r="J25" s="44"/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s="102" cm="1">
        <f t="array" ref="AQ25">ROUND(PQ2nits((20*$AO25)/(2055+31*65)),3)</f>
        <v>0.31</v>
      </c>
    </row>
    <row r="26" spans="2:54" x14ac:dyDescent="0.3">
      <c r="B26" s="52" t="s">
        <v>175</v>
      </c>
      <c r="C26" s="91" t="str">
        <f t="shared" si="2"/>
        <v>:10749000030c0010007878200080010203046dd8</v>
      </c>
      <c r="D26" s="39"/>
      <c r="E26" s="39"/>
      <c r="F26" s="39"/>
      <c r="G26" s="39" t="str" cm="1">
        <f t="array" ref="G26">IntelHexChecksum(RIGHT(C26,40))</f>
        <v>EE</v>
      </c>
      <c r="H26" s="39"/>
      <c r="I26" s="39"/>
      <c r="J26" s="44"/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s="102" cm="1">
        <f t="array" ref="AQ26">ROUND(PQ2nits((20*$AO26)/(2055+31*65)),3)</f>
        <v>0.35299999999999998</v>
      </c>
    </row>
    <row r="27" spans="2:54" x14ac:dyDescent="0.3">
      <c r="B27" s="52" t="s">
        <v>5</v>
      </c>
      <c r="C27" s="91" t="str">
        <f t="shared" si="2"/>
        <v>:1074A0005dc40178800f322878000000e305ff01</v>
      </c>
      <c r="D27" s="39"/>
      <c r="E27" s="39"/>
      <c r="F27" s="39"/>
      <c r="G27" s="39" t="str" cm="1">
        <f t="array" ref="G27">IntelHexChecksum(RIGHT(C27,40))</f>
        <v>F9</v>
      </c>
      <c r="H27" s="39"/>
      <c r="I27" s="39"/>
      <c r="J27" s="44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s="102" cm="1">
        <f t="array" ref="AQ27">ROUND(PQ2nits((20*$AO27)/(2055+31*65)),3)</f>
        <v>0.39900000000000002</v>
      </c>
    </row>
    <row r="28" spans="2:54" x14ac:dyDescent="0.3">
      <c r="B28" s="52" t="s">
        <v>176</v>
      </c>
      <c r="C28" s="91" t="str">
        <f t="shared" si="2"/>
        <v>:1074B000e50f00801900e606070123003ceb0146</v>
      </c>
      <c r="D28" s="39"/>
      <c r="E28" s="39"/>
      <c r="F28" s="39"/>
      <c r="G28" s="39" t="str" cm="1">
        <f t="array" ref="G28">IntelHexChecksum(RIGHT(C28,40))</f>
        <v>BA</v>
      </c>
      <c r="H28" s="39"/>
      <c r="I28" s="39"/>
      <c r="J28" s="44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s="102" cm="1">
        <f t="array" ref="AQ28">ROUND(PQ2nits((20*$AO28)/(2055+31*65)),3)</f>
        <v>0.45</v>
      </c>
    </row>
    <row r="29" spans="2:54" x14ac:dyDescent="0.3">
      <c r="B29" s="52" t="s">
        <v>177</v>
      </c>
      <c r="C29" s="91" t="str">
        <f t="shared" si="2"/>
        <v>:1074C000d00044034872729F6800000000000000</v>
      </c>
      <c r="D29" s="39"/>
      <c r="E29" s="39"/>
      <c r="F29" s="39"/>
      <c r="G29" s="39" t="str" cm="1">
        <f t="array" ref="G29">IntelHexChecksum(RIGHT(C29,40))</f>
        <v>72</v>
      </c>
      <c r="H29" s="39"/>
      <c r="I29" s="39"/>
      <c r="J29" s="44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s="102" cm="1">
        <f t="array" ref="AQ29">ROUND(PQ2nits((20*$AO29)/(2055+31*65)),3)</f>
        <v>0.50600000000000001</v>
      </c>
    </row>
    <row r="30" spans="2:54" ht="15" thickBot="1" x14ac:dyDescent="0.35">
      <c r="B30" s="94" t="s">
        <v>178</v>
      </c>
      <c r="C30" s="95" t="str">
        <f>_xlfn.CONCAT(":10",RIGHT(B30,4),"00",AK22:AL22,"00FFFFFFFFFFFF00371801000100")</f>
        <v>:1074D00000cc00FFFFFFFFFFFF00371801000100</v>
      </c>
      <c r="D30" s="47"/>
      <c r="E30" s="47"/>
      <c r="F30" s="47"/>
      <c r="G30" s="47" t="str" cm="1">
        <f t="array" ref="G30">IntelHexChecksum(RIGHT(C30,40))</f>
        <v>95</v>
      </c>
      <c r="H30" s="47"/>
      <c r="I30" s="47"/>
      <c r="J30" s="48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s="102" cm="1">
        <f t="array" ref="AQ30">ROUND(PQ2nits((20*$AO30)/(2055+31*65)),3)</f>
        <v>0.56599999999999995</v>
      </c>
    </row>
    <row r="31" spans="2:54" x14ac:dyDescent="0.3">
      <c r="B31" s="92"/>
      <c r="C31" s="93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s="102" cm="1">
        <f t="array" ref="AQ31">ROUND(PQ2nits((20*$AO31)/(2055+31*65)),3)</f>
        <v>0.63100000000000001</v>
      </c>
    </row>
    <row r="32" spans="2:54" x14ac:dyDescent="0.3">
      <c r="B32" s="92"/>
      <c r="C32" s="93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s="102" cm="1">
        <f t="array" ref="AQ32">ROUND(PQ2nits((20*$AO32)/(2055+31*65)),3)</f>
        <v>0.70199999999999996</v>
      </c>
    </row>
    <row r="33" spans="2:55" x14ac:dyDescent="0.3">
      <c r="B33" s="92"/>
      <c r="C33" s="93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s="102" cm="1">
        <f t="array" ref="AQ33">ROUND(PQ2nits((20*$AO33)/(2055+31*65)),3)</f>
        <v>0.77900000000000003</v>
      </c>
    </row>
    <row r="34" spans="2:55" x14ac:dyDescent="0.3">
      <c r="B34" s="92"/>
      <c r="C34" s="93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s="102" cm="1">
        <f t="array" ref="AQ34">ROUND(PQ2nits((20*$AO34)/(2055+31*65)),3)</f>
        <v>0.86199999999999999</v>
      </c>
    </row>
    <row r="35" spans="2:55" x14ac:dyDescent="0.3">
      <c r="B35" s="92"/>
      <c r="C35" s="93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s="102" cm="1">
        <f t="array" ref="AQ35">ROUND(PQ2nits((20*$AO35)/(2055+31*65)),3)</f>
        <v>0.95099999999999996</v>
      </c>
    </row>
    <row r="36" spans="2:55" x14ac:dyDescent="0.3">
      <c r="B36" s="92"/>
      <c r="C36" s="93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s="102" cm="1">
        <f t="array" ref="AQ36">ROUND(PQ2nits((20*$AO36)/(2055+31*65)),3)</f>
        <v>1.048</v>
      </c>
    </row>
    <row r="37" spans="2:55" x14ac:dyDescent="0.3">
      <c r="B37" s="92"/>
      <c r="C37" s="93"/>
    </row>
    <row r="38" spans="2:55" x14ac:dyDescent="0.3">
      <c r="B38" s="92"/>
      <c r="C38" s="93"/>
    </row>
    <row r="39" spans="2:55" x14ac:dyDescent="0.3">
      <c r="B39" s="92"/>
      <c r="C39" s="93"/>
    </row>
    <row r="40" spans="2:55" x14ac:dyDescent="0.3"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</row>
    <row r="41" spans="2:55" x14ac:dyDescent="0.3"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</row>
    <row r="42" spans="2:55" x14ac:dyDescent="0.3"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</row>
    <row r="43" spans="2:55" x14ac:dyDescent="0.3"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</row>
    <row r="44" spans="2:55" x14ac:dyDescent="0.3"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</row>
    <row r="45" spans="2:55" x14ac:dyDescent="0.3"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</row>
    <row r="46" spans="2:55" x14ac:dyDescent="0.3"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</row>
    <row r="47" spans="2:55" x14ac:dyDescent="0.3"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</row>
    <row r="48" spans="2:55" x14ac:dyDescent="0.3"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</row>
    <row r="49" spans="23:39" x14ac:dyDescent="0.3"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</row>
    <row r="50" spans="23:39" x14ac:dyDescent="0.3"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</row>
    <row r="51" spans="23:39" x14ac:dyDescent="0.3"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</row>
    <row r="52" spans="23:39" x14ac:dyDescent="0.3"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</row>
    <row r="53" spans="23:39" x14ac:dyDescent="0.3"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</row>
    <row r="54" spans="23:39" x14ac:dyDescent="0.3"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5" priority="4">
      <formula>$E$7="Not Supported"</formula>
    </cfRule>
  </conditionalFormatting>
  <conditionalFormatting sqref="N7">
    <cfRule type="expression" dxfId="14" priority="3">
      <formula>$P$7="Supported"</formula>
    </cfRule>
  </conditionalFormatting>
  <conditionalFormatting sqref="P7">
    <cfRule type="expression" dxfId="13" priority="2">
      <formula>$N$7="Supported"</formula>
    </cfRule>
  </conditionalFormatting>
  <conditionalFormatting sqref="N7 P7">
    <cfRule type="expression" dxfId="12" priority="1" stopIfTrue="1">
      <formula>IF(AND($N$7="Supported",$P$7="Supported"),TRUE,FALSE)</formula>
    </cfRule>
  </conditionalFormatting>
  <dataValidations count="6">
    <dataValidation type="list" allowBlank="1" showInputMessage="1" showErrorMessage="1" sqref="E7:F7 H7 N7 P7" xr:uid="{D552075C-2E85-4C13-9315-1B856098F7F9}">
      <formula1>"Supported, Not Supported"</formula1>
    </dataValidation>
    <dataValidation type="list" allowBlank="1" showInputMessage="1" showErrorMessage="1" sqref="L7" xr:uid="{44096E7C-E670-4007-9AF6-AB0C9586B6EB}">
      <formula1>$AU$5:$AU$8</formula1>
    </dataValidation>
    <dataValidation type="list" allowBlank="1" showInputMessage="1" showErrorMessage="1" sqref="I3" xr:uid="{B9FA7136-0CF5-4BDC-8590-907C8E5E69F8}">
      <formula1>$AU$15:$AU$18</formula1>
    </dataValidation>
    <dataValidation type="list" allowBlank="1" showInputMessage="1" showErrorMessage="1" sqref="I7" xr:uid="{696E0B81-FD64-4179-AE8B-560F753EC570}">
      <formula1>$AR$5:$AR$9</formula1>
    </dataValidation>
    <dataValidation type="list" allowBlank="1" showInputMessage="1" showErrorMessage="1" sqref="J7" xr:uid="{2AC02338-8F71-4B72-ABAA-A235526F7DB3}">
      <formula1>$AN$5:$AN$36</formula1>
    </dataValidation>
    <dataValidation type="list" allowBlank="1" showInputMessage="1" showErrorMessage="1" sqref="G7" xr:uid="{0645B369-A336-45A8-B627-00D49A114D2F}">
      <formula1>$AQ$5:$AQ$36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586740</xdr:colOff>
                    <xdr:row>10</xdr:row>
                    <xdr:rowOff>106680</xdr:rowOff>
                  </from>
                  <to>
                    <xdr:col>13</xdr:col>
                    <xdr:colOff>350520</xdr:colOff>
                    <xdr:row>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792480</xdr:colOff>
                    <xdr:row>8</xdr:row>
                    <xdr:rowOff>182880</xdr:rowOff>
                  </from>
                  <to>
                    <xdr:col>1</xdr:col>
                    <xdr:colOff>1028700</xdr:colOff>
                    <xdr:row>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792480</xdr:colOff>
                    <xdr:row>9</xdr:row>
                    <xdr:rowOff>175260</xdr:rowOff>
                  </from>
                  <to>
                    <xdr:col>1</xdr:col>
                    <xdr:colOff>1028700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DE495-3F64-401D-AD81-3AF84DDF1655}">
  <sheetPr codeName="Sheet12"/>
  <dimension ref="B2:BC54"/>
  <sheetViews>
    <sheetView zoomScale="90" zoomScaleNormal="90" workbookViewId="0">
      <selection activeCell="M20" sqref="M20"/>
    </sheetView>
  </sheetViews>
  <sheetFormatPr defaultRowHeight="14.4" x14ac:dyDescent="0.3"/>
  <cols>
    <col min="2" max="2" width="14.109375" customWidth="1"/>
    <col min="3" max="3" width="7.44140625" customWidth="1"/>
    <col min="4" max="4" width="11" customWidth="1"/>
    <col min="5" max="5" width="12.77734375" customWidth="1"/>
    <col min="6" max="6" width="15.33203125" customWidth="1"/>
    <col min="7" max="7" width="8.88671875" customWidth="1"/>
    <col min="8" max="8" width="10.6640625" customWidth="1"/>
    <col min="9" max="9" width="10" customWidth="1"/>
    <col min="10" max="10" width="12.6640625" customWidth="1"/>
    <col min="11" max="11" width="9.21875" customWidth="1"/>
    <col min="12" max="12" width="16.21875" customWidth="1"/>
    <col min="13" max="13" width="10" customWidth="1"/>
    <col min="14" max="14" width="13.21875" customWidth="1"/>
    <col min="15" max="15" width="8.44140625" customWidth="1"/>
    <col min="16" max="16" width="12.88671875" customWidth="1"/>
    <col min="17" max="20" width="7.44140625" customWidth="1"/>
    <col min="21" max="21" width="12.5546875" customWidth="1"/>
    <col min="22" max="22" width="7.44140625" customWidth="1"/>
    <col min="23" max="38" width="4.33203125" customWidth="1"/>
    <col min="47" max="47" width="24.5546875" customWidth="1"/>
  </cols>
  <sheetData>
    <row r="2" spans="2:54" ht="15" thickBot="1" x14ac:dyDescent="0.35"/>
    <row r="3" spans="2:54" ht="15" thickBot="1" x14ac:dyDescent="0.35">
      <c r="H3" s="35" t="s">
        <v>31</v>
      </c>
      <c r="I3" s="37" t="s">
        <v>43</v>
      </c>
      <c r="W3" s="65" t="s">
        <v>163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61" t="s">
        <v>66</v>
      </c>
      <c r="C5" s="106" t="str">
        <f>DEC2HEX(_xlfn.BITLSHIFT(BIN2DEC(C8),5)+_xlfn.BITLSHIFT(BIN2DEC(D8),2)+_xlfn.BITLSHIFT(BIN2DEC(E8),1)+BIN2DEC(F8))</f>
        <v>48</v>
      </c>
      <c r="D5" s="106"/>
      <c r="E5" s="106"/>
      <c r="F5" s="107"/>
      <c r="G5" s="108" t="str">
        <f>DEC2HEX(_xlfn.BITLSHIFT(BIN2DEC(G8),3)+_xlfn.BITLSHIFT(BIN2DEC(H8),2)+BIN2DEC(I8),2)</f>
        <v>53</v>
      </c>
      <c r="H5" s="104"/>
      <c r="I5" s="105"/>
      <c r="J5" s="108" t="str">
        <f>DEC2HEX(_xlfn.BITLSHIFT(BIN2DEC(J8),3)+_xlfn.BITLSHIFT(BIN2DEC(K8),1)+BIN2DEC(L8),2)</f>
        <v>10</v>
      </c>
      <c r="K5" s="104"/>
      <c r="L5" s="105"/>
      <c r="M5" s="104" t="str">
        <f>BIN2HEX(_xlfn.CONCAT(M8,N8),2)</f>
        <v>56</v>
      </c>
      <c r="N5" s="105"/>
      <c r="O5" s="104" t="str">
        <f>BIN2HEX(_xlfn.CONCAT(O8,P8),2)</f>
        <v>98</v>
      </c>
      <c r="P5" s="105"/>
      <c r="Q5" s="104" t="str">
        <f>BIN2HEX(_xlfn.CONCAT(Q8,R8),2)</f>
        <v>A9</v>
      </c>
      <c r="R5" s="105"/>
      <c r="S5" s="104" t="str">
        <f>BIN2HEX(_xlfn.CONCAT(S8,T8),2)</f>
        <v>53</v>
      </c>
      <c r="T5" s="105"/>
      <c r="W5" s="84">
        <v>0</v>
      </c>
      <c r="X5" s="85">
        <v>1</v>
      </c>
      <c r="Y5" s="85">
        <v>2</v>
      </c>
      <c r="Z5" s="85">
        <v>3</v>
      </c>
      <c r="AA5" s="85">
        <v>4</v>
      </c>
      <c r="AB5" s="85">
        <v>5</v>
      </c>
      <c r="AC5" s="85">
        <v>6</v>
      </c>
      <c r="AD5" s="85">
        <v>7</v>
      </c>
      <c r="AE5" s="85">
        <v>8</v>
      </c>
      <c r="AF5" s="85">
        <v>9</v>
      </c>
      <c r="AG5" s="85">
        <v>10</v>
      </c>
      <c r="AH5" s="85">
        <v>11</v>
      </c>
      <c r="AI5" s="85">
        <v>12</v>
      </c>
      <c r="AJ5" s="85">
        <v>13</v>
      </c>
      <c r="AK5" s="85">
        <v>14</v>
      </c>
      <c r="AL5" s="86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s="102" cm="1">
        <f t="array" ref="AQ5">ROUND(PQ2nits((20*$AO5)/(2055+31*65)),3)</f>
        <v>0</v>
      </c>
      <c r="AR5" s="12" t="s">
        <v>22</v>
      </c>
      <c r="AS5" s="11" t="s">
        <v>7</v>
      </c>
      <c r="AU5" s="13" t="s">
        <v>35</v>
      </c>
      <c r="AV5" s="6" t="s">
        <v>7</v>
      </c>
    </row>
    <row r="6" spans="2:54" ht="30.75" customHeight="1" x14ac:dyDescent="0.3">
      <c r="B6" s="60" t="s">
        <v>67</v>
      </c>
      <c r="C6" s="56" t="s">
        <v>10</v>
      </c>
      <c r="D6" s="30" t="s">
        <v>12</v>
      </c>
      <c r="E6" s="31" t="s">
        <v>17</v>
      </c>
      <c r="F6" s="32" t="s">
        <v>8</v>
      </c>
      <c r="G6" s="33" t="s">
        <v>60</v>
      </c>
      <c r="H6" s="31" t="s">
        <v>40</v>
      </c>
      <c r="I6" s="34" t="s">
        <v>59</v>
      </c>
      <c r="J6" s="33" t="s">
        <v>61</v>
      </c>
      <c r="K6" s="30" t="s">
        <v>11</v>
      </c>
      <c r="L6" s="32" t="s">
        <v>37</v>
      </c>
      <c r="M6" s="30" t="s">
        <v>58</v>
      </c>
      <c r="N6" s="32" t="s">
        <v>24</v>
      </c>
      <c r="O6" s="30" t="s">
        <v>57</v>
      </c>
      <c r="P6" s="32" t="s">
        <v>23</v>
      </c>
      <c r="Q6" s="30" t="s">
        <v>56</v>
      </c>
      <c r="R6" s="32" t="s">
        <v>14</v>
      </c>
      <c r="S6" s="30" t="s">
        <v>55</v>
      </c>
      <c r="T6" s="32" t="s">
        <v>13</v>
      </c>
      <c r="V6" s="65" t="s">
        <v>68</v>
      </c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s="102" cm="1">
        <f t="array" ref="AQ6">ROUND(PQ2nits((20*$AO6)/(2055+31*65)),3)</f>
        <v>1E-3</v>
      </c>
      <c r="AR6" s="12" t="s">
        <v>21</v>
      </c>
      <c r="AS6" s="11" t="s">
        <v>6</v>
      </c>
      <c r="AU6" s="13" t="s">
        <v>36</v>
      </c>
      <c r="AV6" s="6" t="s">
        <v>6</v>
      </c>
    </row>
    <row r="7" spans="2:54" x14ac:dyDescent="0.3">
      <c r="B7" s="59"/>
      <c r="C7" s="57">
        <v>2</v>
      </c>
      <c r="D7" s="10" t="s">
        <v>20</v>
      </c>
      <c r="E7" s="14" t="s">
        <v>19</v>
      </c>
      <c r="F7" s="14" t="s">
        <v>19</v>
      </c>
      <c r="G7" s="103">
        <v>5.8000000000000003E-2</v>
      </c>
      <c r="H7" s="14" t="s">
        <v>19</v>
      </c>
      <c r="I7" s="15" t="s">
        <v>27</v>
      </c>
      <c r="J7" s="26">
        <v>132</v>
      </c>
      <c r="K7" s="27">
        <v>0</v>
      </c>
      <c r="L7" s="16" t="s">
        <v>35</v>
      </c>
      <c r="M7" s="23">
        <f>INDEX(AX15:AX17,MATCH(I3,AU15:AU17,0))</f>
        <v>0.17</v>
      </c>
      <c r="N7" s="36" t="s">
        <v>19</v>
      </c>
      <c r="O7" s="24">
        <f>INDEX(AY15:AY17,MATCH($I$3,$AU$15:$AU$17,0))</f>
        <v>0.79700000000000004</v>
      </c>
      <c r="P7" s="36" t="s">
        <v>19</v>
      </c>
      <c r="Q7" s="24">
        <f>INDEX(AV15:AV17,MATCH($I$3,$AU$15:$AU$17,0))</f>
        <v>0.70799999999999996</v>
      </c>
      <c r="R7" s="25">
        <f>INDEX(AZ15:AZ17,MATCH($I$3,$AU$15:$AU$17,0))</f>
        <v>0.13100000000000001</v>
      </c>
      <c r="S7" s="23">
        <f>INDEX(AW15:AW17,MATCH($I$3,$AU$15:$AU$17,0))</f>
        <v>0.29199999999999998</v>
      </c>
      <c r="T7" s="25">
        <f>INDEX(BA15:BA17,MATCH($I$3,$AU$15:$AU$17,0))</f>
        <v>4.5999999999999999E-2</v>
      </c>
      <c r="V7" s="63"/>
      <c r="W7" s="63" t="s">
        <v>7</v>
      </c>
      <c r="X7" s="63" t="s">
        <v>127</v>
      </c>
      <c r="Y7" s="63" t="s">
        <v>127</v>
      </c>
      <c r="Z7" s="63" t="s">
        <v>127</v>
      </c>
      <c r="AA7" s="63" t="s">
        <v>127</v>
      </c>
      <c r="AB7" s="63" t="s">
        <v>127</v>
      </c>
      <c r="AC7" s="63" t="s">
        <v>127</v>
      </c>
      <c r="AD7" s="63" t="s">
        <v>7</v>
      </c>
      <c r="AE7" s="63" t="s">
        <v>135</v>
      </c>
      <c r="AF7" s="63" t="s">
        <v>129</v>
      </c>
      <c r="AG7" s="63" t="s">
        <v>98</v>
      </c>
      <c r="AH7" s="63" t="s">
        <v>182</v>
      </c>
      <c r="AI7" s="63" t="s">
        <v>6</v>
      </c>
      <c r="AJ7" s="63" t="s">
        <v>6</v>
      </c>
      <c r="AK7" s="63" t="s">
        <v>6</v>
      </c>
      <c r="AL7" s="63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s="102" cm="1">
        <f t="array" ref="AQ7">ROUND(PQ2nits((20*$AO7)/(2055+31*65)),3)</f>
        <v>2E-3</v>
      </c>
      <c r="AR7" s="12" t="s">
        <v>26</v>
      </c>
      <c r="AS7" s="11" t="s">
        <v>28</v>
      </c>
      <c r="AU7" s="13" t="s">
        <v>38</v>
      </c>
      <c r="AV7" s="6" t="s">
        <v>28</v>
      </c>
    </row>
    <row r="8" spans="2:54" s="7" customFormat="1" ht="15" thickBot="1" x14ac:dyDescent="0.35">
      <c r="B8" s="62"/>
      <c r="C8" s="58" t="s">
        <v>15</v>
      </c>
      <c r="D8" s="17" t="s">
        <v>15</v>
      </c>
      <c r="E8" s="18">
        <f>IF(EXACT(E7,"Supported"),1,0)</f>
        <v>0</v>
      </c>
      <c r="F8" s="18">
        <f>IF(EXACT(F7,"Supported"),1,0)</f>
        <v>0</v>
      </c>
      <c r="G8" s="20" t="str">
        <f>DEC2BIN(_xlfn.XLOOKUP(G7,AQ5:AQ36,AO5:AO36),5)</f>
        <v>01010</v>
      </c>
      <c r="H8" s="18">
        <f>IF(EXACT(H7,"Supported"),1,0)</f>
        <v>0</v>
      </c>
      <c r="I8" s="19" t="str">
        <f>IF(EXACT(E7,"Not Supported"),"11",INDEX(AS5:AS8,MATCH(I7,AR5:AR8,0)))</f>
        <v>11</v>
      </c>
      <c r="J8" s="20" t="str">
        <f>DEC2BIN(VLOOKUP(J7,AN5:AO36,2),5)</f>
        <v>00010</v>
      </c>
      <c r="K8" s="28">
        <v>0</v>
      </c>
      <c r="L8" s="19" t="str">
        <f>VLOOKUP(L7,AU5:AV8,2)</f>
        <v>00</v>
      </c>
      <c r="M8" s="29" t="str">
        <f>DEC2BIN(M7/( 0.49609375/127),7)</f>
        <v>0101011</v>
      </c>
      <c r="N8" s="21">
        <f>IF(AND(EXACT(N7,"Supported"),EXACT(P7,"Not Supported")),1,0)</f>
        <v>0</v>
      </c>
      <c r="O8" s="29" t="str">
        <f>DEC2BIN((O7-0.5)/((0.99609375-0.5)/127),7)</f>
        <v>1001100</v>
      </c>
      <c r="P8" s="21">
        <f>IF(AND(EXACT(P7,"Supported"),EXACT(N7,"Not Supported")),1,0)</f>
        <v>0</v>
      </c>
      <c r="Q8" s="20" t="str">
        <f>DEC2BIN((Q7-0.625)/((0.74609375-0.625)/31),5)</f>
        <v>10101</v>
      </c>
      <c r="R8" s="19" t="str">
        <f>DEC2BIN((R7-0.125)/((0.15234375-0.125)/7),3)</f>
        <v>001</v>
      </c>
      <c r="S8" s="20" t="str">
        <f>DEC2BIN((S7-0.25)/((0.37109375-0.25)/31),5)</f>
        <v>01010</v>
      </c>
      <c r="T8" s="19" t="str">
        <f>DEC2BIN((T7-0.03125)/((0.05859375-0.03125)/7),3)</f>
        <v>011</v>
      </c>
      <c r="V8" s="63"/>
      <c r="W8" s="63" t="s">
        <v>72</v>
      </c>
      <c r="X8" s="63" t="s">
        <v>72</v>
      </c>
      <c r="Y8" s="63" t="s">
        <v>6</v>
      </c>
      <c r="Z8" s="63" t="s">
        <v>89</v>
      </c>
      <c r="AA8" s="63" t="s">
        <v>112</v>
      </c>
      <c r="AB8" s="63" t="s">
        <v>7</v>
      </c>
      <c r="AC8" s="63" t="s">
        <v>7</v>
      </c>
      <c r="AD8" s="63" t="s">
        <v>113</v>
      </c>
      <c r="AE8" s="63" t="s">
        <v>184</v>
      </c>
      <c r="AF8" s="63" t="s">
        <v>185</v>
      </c>
      <c r="AG8" s="63" t="s">
        <v>106</v>
      </c>
      <c r="AH8" s="63" t="s">
        <v>129</v>
      </c>
      <c r="AI8" s="63" t="s">
        <v>191</v>
      </c>
      <c r="AJ8" s="63" t="s">
        <v>135</v>
      </c>
      <c r="AK8" s="63" t="s">
        <v>192</v>
      </c>
      <c r="AL8" s="63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s="102" cm="1">
        <f t="array" ref="AQ8">ROUND(PQ2nits((20*$AO8)/(2055+31*65)),3)</f>
        <v>5.0000000000000001E-3</v>
      </c>
      <c r="AR8" s="11" t="s">
        <v>27</v>
      </c>
      <c r="AS8" s="11" t="s">
        <v>29</v>
      </c>
      <c r="AU8" s="13" t="s">
        <v>39</v>
      </c>
      <c r="AV8" s="8" t="s">
        <v>29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3"/>
      <c r="W9" s="63" t="s">
        <v>74</v>
      </c>
      <c r="X9" s="63" t="s">
        <v>106</v>
      </c>
      <c r="Y9" s="63" t="s">
        <v>191</v>
      </c>
      <c r="Z9" s="63" t="s">
        <v>102</v>
      </c>
      <c r="AA9" s="63" t="s">
        <v>7</v>
      </c>
      <c r="AB9" s="63" t="s">
        <v>7</v>
      </c>
      <c r="AC9" s="63" t="s">
        <v>6</v>
      </c>
      <c r="AD9" s="63" t="s">
        <v>6</v>
      </c>
      <c r="AE9" s="63" t="s">
        <v>6</v>
      </c>
      <c r="AF9" s="63" t="s">
        <v>6</v>
      </c>
      <c r="AG9" s="63" t="s">
        <v>6</v>
      </c>
      <c r="AH9" s="63" t="s">
        <v>6</v>
      </c>
      <c r="AI9" s="63" t="s">
        <v>6</v>
      </c>
      <c r="AJ9" s="63" t="s">
        <v>6</v>
      </c>
      <c r="AK9" s="63" t="s">
        <v>6</v>
      </c>
      <c r="AL9" s="63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s="102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9" t="s">
        <v>63</v>
      </c>
      <c r="C10" s="40" t="s">
        <v>65</v>
      </c>
      <c r="D10" s="41"/>
      <c r="E10" s="41"/>
      <c r="F10" s="41"/>
      <c r="G10" s="41"/>
      <c r="H10" s="41"/>
      <c r="I10" s="41"/>
      <c r="J10" s="42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3"/>
      <c r="W10" s="63" t="s">
        <v>6</v>
      </c>
      <c r="X10" s="63" t="s">
        <v>6</v>
      </c>
      <c r="Y10" s="63" t="s">
        <v>6</v>
      </c>
      <c r="Z10" s="63" t="s">
        <v>6</v>
      </c>
      <c r="AA10" s="63" t="s">
        <v>6</v>
      </c>
      <c r="AB10" s="63" t="s">
        <v>6</v>
      </c>
      <c r="AC10" s="63" t="s">
        <v>140</v>
      </c>
      <c r="AD10" s="63" t="s">
        <v>144</v>
      </c>
      <c r="AE10" s="63" t="s">
        <v>7</v>
      </c>
      <c r="AF10" s="63" t="s">
        <v>145</v>
      </c>
      <c r="AG10" s="63" t="s">
        <v>71</v>
      </c>
      <c r="AH10" s="63" t="s">
        <v>146</v>
      </c>
      <c r="AI10" s="63" t="s">
        <v>147</v>
      </c>
      <c r="AJ10" s="63" t="s">
        <v>112</v>
      </c>
      <c r="AK10" s="63" t="s">
        <v>136</v>
      </c>
      <c r="AL10" s="63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s="102" cm="1">
        <f t="array" ref="AQ10">ROUND(PQ2nits((20*$AO10)/(2055+31*65)),3)</f>
        <v>1.2999999999999999E-2</v>
      </c>
      <c r="AR10" s="5"/>
    </row>
    <row r="11" spans="2:54" ht="15" thickBot="1" x14ac:dyDescent="0.35">
      <c r="B11" s="50" t="s">
        <v>64</v>
      </c>
      <c r="C11" s="38" t="s">
        <v>262</v>
      </c>
      <c r="D11" s="9"/>
      <c r="E11" s="9"/>
      <c r="F11" s="9"/>
      <c r="G11" s="9"/>
      <c r="H11" s="9"/>
      <c r="I11" s="9"/>
      <c r="J11" s="43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3"/>
      <c r="W11" s="63" t="s">
        <v>119</v>
      </c>
      <c r="X11" s="63" t="s">
        <v>7</v>
      </c>
      <c r="Y11" s="63" t="s">
        <v>104</v>
      </c>
      <c r="Z11" s="63" t="s">
        <v>193</v>
      </c>
      <c r="AA11" s="63" t="s">
        <v>194</v>
      </c>
      <c r="AB11" s="63" t="s">
        <v>7</v>
      </c>
      <c r="AC11" s="63" t="s">
        <v>7</v>
      </c>
      <c r="AD11" s="63" t="s">
        <v>77</v>
      </c>
      <c r="AE11" s="63" t="s">
        <v>88</v>
      </c>
      <c r="AF11" s="63" t="s">
        <v>150</v>
      </c>
      <c r="AG11" s="63" t="s">
        <v>112</v>
      </c>
      <c r="AH11" s="63" t="s">
        <v>126</v>
      </c>
      <c r="AI11" s="63" t="s">
        <v>151</v>
      </c>
      <c r="AJ11" s="63" t="s">
        <v>111</v>
      </c>
      <c r="AK11" s="63" t="s">
        <v>121</v>
      </c>
      <c r="AL11" s="63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s="102" cm="1">
        <f t="array" ref="AQ11">ROUND(PQ2nits((20*$AO11)/(2055+31*65)),3)</f>
        <v>1.9E-2</v>
      </c>
      <c r="AR11" s="5"/>
    </row>
    <row r="12" spans="2:54" x14ac:dyDescent="0.3">
      <c r="B12" s="53" t="s">
        <v>0</v>
      </c>
      <c r="C12" s="54" t="str">
        <f>_xlfn.CONCAT(B5:T5)</f>
        <v>EB0146D0004853105698A953</v>
      </c>
      <c r="D12" s="54"/>
      <c r="E12" s="54"/>
      <c r="F12" s="54"/>
      <c r="G12" s="54"/>
      <c r="H12" s="54"/>
      <c r="I12" s="54"/>
      <c r="J12" s="55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3"/>
      <c r="W12" s="63" t="s">
        <v>148</v>
      </c>
      <c r="X12" s="63" t="s">
        <v>152</v>
      </c>
      <c r="Y12" s="63" t="s">
        <v>142</v>
      </c>
      <c r="Z12" s="63" t="s">
        <v>7</v>
      </c>
      <c r="AA12" s="63" t="s">
        <v>104</v>
      </c>
      <c r="AB12" s="63" t="s">
        <v>193</v>
      </c>
      <c r="AC12" s="63" t="s">
        <v>194</v>
      </c>
      <c r="AD12" s="63" t="s">
        <v>7</v>
      </c>
      <c r="AE12" s="63" t="s">
        <v>7</v>
      </c>
      <c r="AF12" s="63" t="s">
        <v>77</v>
      </c>
      <c r="AG12" s="63" t="s">
        <v>7</v>
      </c>
      <c r="AH12" s="63" t="s">
        <v>7</v>
      </c>
      <c r="AI12" s="63" t="s">
        <v>7</v>
      </c>
      <c r="AJ12" s="63" t="s">
        <v>158</v>
      </c>
      <c r="AK12" s="63" t="s">
        <v>7</v>
      </c>
      <c r="AL12" s="63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s="102" cm="1">
        <f t="array" ref="AQ12">ROUND(PQ2nits((20*$AO12)/(2055+31*65)),3)</f>
        <v>2.5999999999999999E-2</v>
      </c>
    </row>
    <row r="13" spans="2:54" x14ac:dyDescent="0.3">
      <c r="B13" s="51" t="s">
        <v>62</v>
      </c>
      <c r="C13" s="45" t="str" cm="1">
        <f t="array" ref="C13">EDIDCheckSum(C12)</f>
        <v>43</v>
      </c>
      <c r="D13" s="39"/>
      <c r="E13" s="39"/>
      <c r="F13" s="39"/>
      <c r="G13" s="39"/>
      <c r="H13" s="39"/>
      <c r="I13" s="39"/>
      <c r="J13" s="44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3"/>
      <c r="W13" s="63" t="s">
        <v>190</v>
      </c>
      <c r="X13" s="63" t="s">
        <v>74</v>
      </c>
      <c r="Y13" s="63" t="s">
        <v>160</v>
      </c>
      <c r="Z13" s="63" t="s">
        <v>84</v>
      </c>
      <c r="AA13" s="63" t="s">
        <v>7</v>
      </c>
      <c r="AB13" s="63" t="s">
        <v>117</v>
      </c>
      <c r="AC13" s="63" t="s">
        <v>102</v>
      </c>
      <c r="AD13" s="63" t="s">
        <v>102</v>
      </c>
      <c r="AE13" s="63" t="s">
        <v>102</v>
      </c>
      <c r="AF13" s="63" t="s">
        <v>102</v>
      </c>
      <c r="AG13" s="63" t="s">
        <v>102</v>
      </c>
      <c r="AH13" s="63" t="s">
        <v>102</v>
      </c>
      <c r="AI13" s="63" t="s">
        <v>7</v>
      </c>
      <c r="AJ13" s="63" t="s">
        <v>7</v>
      </c>
      <c r="AK13" s="63" t="s">
        <v>7</v>
      </c>
      <c r="AL13" s="63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s="102" cm="1">
        <f t="array" ref="AQ13">ROUND(PQ2nits((20*$AO13)/(2055+31*65)),3)</f>
        <v>3.5000000000000003E-2</v>
      </c>
    </row>
    <row r="14" spans="2:54" x14ac:dyDescent="0.3">
      <c r="B14" s="52" t="s">
        <v>164</v>
      </c>
      <c r="C14" s="91" t="str">
        <f>_xlfn.CONCAT(":1073D0000086",_xlfn.CONCAT(W7:AJ7))</f>
        <v>:1073D000008600ffffffffffff004ca312a80101</v>
      </c>
      <c r="D14" s="39"/>
      <c r="E14" s="39"/>
      <c r="F14" s="39"/>
      <c r="G14" s="39" t="str" cm="1">
        <f t="array" ref="G14">IntelHexChecksum(RIGHT(C14,40))</f>
        <v>82</v>
      </c>
      <c r="H14" s="39"/>
      <c r="I14" s="39"/>
      <c r="J14" s="44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3"/>
      <c r="W14" s="63" t="s">
        <v>7</v>
      </c>
      <c r="X14" s="63" t="s">
        <v>142</v>
      </c>
      <c r="Y14" s="63" t="s">
        <v>106</v>
      </c>
      <c r="Z14" s="63" t="s">
        <v>90</v>
      </c>
      <c r="AA14" s="63" t="s">
        <v>156</v>
      </c>
      <c r="AB14" s="63" t="s">
        <v>186</v>
      </c>
      <c r="AC14" s="63" t="s">
        <v>102</v>
      </c>
      <c r="AD14" s="63" t="s">
        <v>106</v>
      </c>
      <c r="AE14" s="63" t="s">
        <v>187</v>
      </c>
      <c r="AF14" s="63" t="s">
        <v>117</v>
      </c>
      <c r="AG14" s="63" t="s">
        <v>102</v>
      </c>
      <c r="AH14" s="63" t="s">
        <v>102</v>
      </c>
      <c r="AI14" s="63" t="s">
        <v>102</v>
      </c>
      <c r="AJ14" s="63" t="s">
        <v>102</v>
      </c>
      <c r="AK14" s="63" t="s">
        <v>6</v>
      </c>
      <c r="AL14" s="63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s="102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52" t="s">
        <v>165</v>
      </c>
      <c r="C15" s="91" t="str">
        <f>_xlfn.CONCAT(":10",RIGHT(B15,4),"00",AK7:AL7,W8:AJ8)</f>
        <v>:1073E00001011f1f0103800000780ede50a3544c</v>
      </c>
      <c r="D15" s="39"/>
      <c r="E15" s="39"/>
      <c r="F15" s="39"/>
      <c r="G15" s="39" t="str" cm="1">
        <f t="array" ref="G15">IntelHexChecksum(RIGHT(C15,40))</f>
        <v>E2</v>
      </c>
      <c r="H15" s="39"/>
      <c r="I15" s="39"/>
      <c r="J15" s="44"/>
      <c r="V15" s="65" t="s">
        <v>69</v>
      </c>
      <c r="W15" s="63" t="s">
        <v>88</v>
      </c>
      <c r="X15" s="63" t="s">
        <v>89</v>
      </c>
      <c r="Y15" s="96" t="s">
        <v>94</v>
      </c>
      <c r="Z15" s="63" t="s">
        <v>256</v>
      </c>
      <c r="AA15" s="63" t="s">
        <v>190</v>
      </c>
      <c r="AB15" s="63" t="s">
        <v>91</v>
      </c>
      <c r="AC15" s="63" t="s">
        <v>92</v>
      </c>
      <c r="AD15" s="63" t="s">
        <v>94</v>
      </c>
      <c r="AE15" s="63" t="s">
        <v>93</v>
      </c>
      <c r="AF15" s="63" t="s">
        <v>78</v>
      </c>
      <c r="AG15" s="63" t="s">
        <v>197</v>
      </c>
      <c r="AH15" s="63" t="s">
        <v>70</v>
      </c>
      <c r="AI15" s="63" t="s">
        <v>198</v>
      </c>
      <c r="AJ15" s="63" t="s">
        <v>28</v>
      </c>
      <c r="AK15" s="63" t="s">
        <v>72</v>
      </c>
      <c r="AL15" s="63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s="102" cm="1">
        <f t="array" ref="AQ15">ROUND(PQ2nits((20*$AO15)/(2055+31*65)),3)</f>
        <v>5.8000000000000003E-2</v>
      </c>
      <c r="AU15" s="6" t="s">
        <v>42</v>
      </c>
      <c r="AV15" s="22">
        <v>0.64</v>
      </c>
      <c r="AW15" s="22">
        <v>0.33</v>
      </c>
      <c r="AX15" s="22">
        <v>0.3</v>
      </c>
      <c r="AY15" s="22">
        <v>0.6</v>
      </c>
      <c r="AZ15" s="22">
        <v>0.15</v>
      </c>
      <c r="BA15" s="22">
        <v>0.06</v>
      </c>
      <c r="BB15" t="s">
        <v>53</v>
      </c>
    </row>
    <row r="16" spans="2:54" x14ac:dyDescent="0.3">
      <c r="B16" s="52" t="s">
        <v>166</v>
      </c>
      <c r="C16" s="91" t="str">
        <f t="shared" ref="C16:C29" si="2">_xlfn.CONCAT(":10",RIGHT(B16,4),"00",AK8:AL8,W9:AJ9)</f>
        <v>:1073F00099260f50542000000101010101010101</v>
      </c>
      <c r="D16" s="39"/>
      <c r="E16" s="39"/>
      <c r="F16" s="39"/>
      <c r="G16" s="39" t="str" cm="1">
        <f t="array" ref="G16">IntelHexChecksum(RIGHT(C16,40))</f>
        <v>F3</v>
      </c>
      <c r="H16" s="39"/>
      <c r="I16" s="39"/>
      <c r="J16" s="44"/>
      <c r="V16" s="63"/>
      <c r="W16" s="63" t="s">
        <v>102</v>
      </c>
      <c r="X16" s="63" t="s">
        <v>96</v>
      </c>
      <c r="Y16" s="63" t="s">
        <v>100</v>
      </c>
      <c r="Z16" s="63" t="s">
        <v>95</v>
      </c>
      <c r="AA16" s="63" t="s">
        <v>99</v>
      </c>
      <c r="AB16" s="63" t="s">
        <v>98</v>
      </c>
      <c r="AC16" s="63" t="s">
        <v>29</v>
      </c>
      <c r="AD16" s="63" t="s">
        <v>89</v>
      </c>
      <c r="AE16" s="63" t="s">
        <v>88</v>
      </c>
      <c r="AF16" s="63" t="s">
        <v>6</v>
      </c>
      <c r="AG16" s="63" t="s">
        <v>152</v>
      </c>
      <c r="AH16" s="63" t="s">
        <v>138</v>
      </c>
      <c r="AI16" s="63" t="s">
        <v>97</v>
      </c>
      <c r="AJ16" s="63" t="s">
        <v>97</v>
      </c>
      <c r="AK16" s="63" t="s">
        <v>257</v>
      </c>
      <c r="AL16" s="63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s="102" cm="1">
        <f t="array" ref="AQ16">ROUND(PQ2nits((20*$AO16)/(2055+31*65)),3)</f>
        <v>7.1999999999999995E-2</v>
      </c>
      <c r="AU16" s="6" t="s">
        <v>43</v>
      </c>
      <c r="AV16" s="22">
        <v>0.70799999999999996</v>
      </c>
      <c r="AW16" s="22">
        <v>0.29199999999999998</v>
      </c>
      <c r="AX16" s="22">
        <v>0.17</v>
      </c>
      <c r="AY16" s="22">
        <v>0.79700000000000004</v>
      </c>
      <c r="AZ16" s="22">
        <v>0.13100000000000001</v>
      </c>
      <c r="BA16" s="22">
        <v>4.5999999999999999E-2</v>
      </c>
      <c r="BB16" t="s">
        <v>51</v>
      </c>
    </row>
    <row r="17" spans="2:54" x14ac:dyDescent="0.3">
      <c r="B17" s="52" t="s">
        <v>167</v>
      </c>
      <c r="C17" s="91" t="str">
        <f t="shared" si="2"/>
        <v>:10740000010101010101010108e80030f2705a80</v>
      </c>
      <c r="D17" s="39"/>
      <c r="E17" s="39"/>
      <c r="F17" s="39"/>
      <c r="G17" s="39" t="str" cm="1">
        <f t="array" ref="G17">IntelHexChecksum(RIGHT(C17,40))</f>
        <v>18</v>
      </c>
      <c r="H17" s="39"/>
      <c r="I17" s="39"/>
      <c r="J17" s="44"/>
      <c r="V17" s="63"/>
      <c r="W17" s="63" t="s">
        <v>97</v>
      </c>
      <c r="X17" s="63" t="s">
        <v>78</v>
      </c>
      <c r="Y17" s="63" t="s">
        <v>108</v>
      </c>
      <c r="Z17" s="63" t="s">
        <v>7</v>
      </c>
      <c r="AA17" s="63" t="s">
        <v>108</v>
      </c>
      <c r="AB17" s="63" t="s">
        <v>95</v>
      </c>
      <c r="AC17" s="63" t="s">
        <v>7</v>
      </c>
      <c r="AD17" s="63" t="s">
        <v>240</v>
      </c>
      <c r="AE17" s="63" t="s">
        <v>89</v>
      </c>
      <c r="AF17" s="63" t="s">
        <v>83</v>
      </c>
      <c r="AG17" s="63" t="s">
        <v>7</v>
      </c>
      <c r="AH17" s="63" t="s">
        <v>28</v>
      </c>
      <c r="AI17" s="63" t="s">
        <v>7</v>
      </c>
      <c r="AJ17" s="63" t="s">
        <v>200</v>
      </c>
      <c r="AK17" s="63" t="s">
        <v>84</v>
      </c>
      <c r="AL17" s="63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s="102" cm="1">
        <f t="array" ref="AQ17">ROUND(PQ2nits((20*$AO17)/(2055+31*65)),3)</f>
        <v>8.7999999999999995E-2</v>
      </c>
      <c r="AU17" s="6" t="s">
        <v>44</v>
      </c>
      <c r="AV17" s="22">
        <v>0.68</v>
      </c>
      <c r="AW17" s="22">
        <v>0.32</v>
      </c>
      <c r="AX17" s="22">
        <v>0.26500000000000001</v>
      </c>
      <c r="AY17" s="22">
        <v>0.69</v>
      </c>
      <c r="AZ17" s="22">
        <v>0.15</v>
      </c>
      <c r="BA17" s="22">
        <v>0.06</v>
      </c>
      <c r="BB17" t="s">
        <v>52</v>
      </c>
    </row>
    <row r="18" spans="2:54" x14ac:dyDescent="0.3">
      <c r="B18" s="52" t="s">
        <v>168</v>
      </c>
      <c r="C18" s="91" t="str">
        <f t="shared" si="2"/>
        <v>:10741000b0588a0040846300001e023a80187138</v>
      </c>
      <c r="D18" s="39"/>
      <c r="E18" s="39"/>
      <c r="F18" s="39"/>
      <c r="G18" s="39" t="str" cm="1">
        <f t="array" ref="G18">IntelHexChecksum(RIGHT(C18,40))</f>
        <v>18</v>
      </c>
      <c r="H18" s="39"/>
      <c r="I18" s="39"/>
      <c r="J18" s="44"/>
      <c r="V18" s="63"/>
      <c r="W18" s="63" t="s">
        <v>258</v>
      </c>
      <c r="X18" s="63" t="s">
        <v>258</v>
      </c>
      <c r="Y18" s="63" t="s">
        <v>258</v>
      </c>
      <c r="Z18" s="63" t="s">
        <v>258</v>
      </c>
      <c r="AA18" s="63" t="s">
        <v>7</v>
      </c>
      <c r="AB18" s="63" t="s">
        <v>112</v>
      </c>
      <c r="AC18" s="63" t="s">
        <v>6</v>
      </c>
      <c r="AD18" s="63" t="s">
        <v>88</v>
      </c>
      <c r="AE18" s="63" t="s">
        <v>89</v>
      </c>
      <c r="AF18" s="63" t="s">
        <v>95</v>
      </c>
      <c r="AG18" s="63" t="s">
        <v>109</v>
      </c>
      <c r="AH18" s="63" t="s">
        <v>86</v>
      </c>
      <c r="AI18" s="63" t="s">
        <v>70</v>
      </c>
      <c r="AJ18" s="63" t="s">
        <v>87</v>
      </c>
      <c r="AK18" s="63" t="s">
        <v>6</v>
      </c>
      <c r="AL18" s="63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s="102" cm="1">
        <f t="array" ref="AQ18">ROUND(PQ2nits((20*$AO18)/(2055+31*65)),3)</f>
        <v>0.106</v>
      </c>
    </row>
    <row r="19" spans="2:54" x14ac:dyDescent="0.3">
      <c r="B19" s="52" t="s">
        <v>169</v>
      </c>
      <c r="C19" s="91" t="str">
        <f t="shared" si="2"/>
        <v>:107420002d40582c450040846300001e000000fd</v>
      </c>
      <c r="D19" s="39"/>
      <c r="E19" s="39"/>
      <c r="F19" s="39"/>
      <c r="G19" s="39" t="str" cm="1">
        <f t="array" ref="G19">IntelHexChecksum(RIGHT(C19,40))</f>
        <v>E4</v>
      </c>
      <c r="H19" s="39"/>
      <c r="I19" s="39"/>
      <c r="J19" s="44"/>
      <c r="V19" s="63"/>
      <c r="W19" s="97" t="s">
        <v>112</v>
      </c>
      <c r="X19" s="97" t="s">
        <v>259</v>
      </c>
      <c r="Y19" s="97" t="s">
        <v>110</v>
      </c>
      <c r="Z19" s="97" t="s">
        <v>78</v>
      </c>
      <c r="AA19" s="97" t="s">
        <v>7</v>
      </c>
      <c r="AB19" s="97" t="s">
        <v>7</v>
      </c>
      <c r="AC19" s="97" t="s">
        <v>85</v>
      </c>
      <c r="AD19" s="97" t="s">
        <v>7</v>
      </c>
      <c r="AE19" s="97" t="s">
        <v>203</v>
      </c>
      <c r="AF19" s="97" t="s">
        <v>204</v>
      </c>
      <c r="AG19" s="97" t="s">
        <v>6</v>
      </c>
      <c r="AH19" s="97" t="s">
        <v>260</v>
      </c>
      <c r="AI19" s="97" t="s">
        <v>193</v>
      </c>
      <c r="AJ19" s="97" t="s">
        <v>196</v>
      </c>
      <c r="AK19" s="97" t="s">
        <v>6</v>
      </c>
      <c r="AL19" s="97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s="102" cm="1">
        <f t="array" ref="AQ19">ROUND(PQ2nits((20*$AO19)/(2055+31*65)),3)</f>
        <v>0.127</v>
      </c>
    </row>
    <row r="20" spans="2:54" x14ac:dyDescent="0.3">
      <c r="B20" s="52" t="s">
        <v>170</v>
      </c>
      <c r="C20" s="91" t="str">
        <f t="shared" si="2"/>
        <v>:107430000018550f873c000a2020202020200000</v>
      </c>
      <c r="D20" s="39"/>
      <c r="E20" s="39"/>
      <c r="F20" s="39"/>
      <c r="G20" s="39" t="str" cm="1">
        <f t="array" ref="G20">IntelHexChecksum(RIGHT(C20,40))</f>
        <v>43</v>
      </c>
      <c r="H20" s="39"/>
      <c r="I20" s="39"/>
      <c r="J20" s="44"/>
      <c r="V20" s="63"/>
      <c r="W20" s="97" t="s">
        <v>96</v>
      </c>
      <c r="X20" s="97" t="s">
        <v>81</v>
      </c>
      <c r="Y20" s="97" t="s">
        <v>7</v>
      </c>
      <c r="Z20" s="97" t="s">
        <v>80</v>
      </c>
      <c r="AA20" s="97" t="s">
        <v>114</v>
      </c>
      <c r="AB20" s="97" t="s">
        <v>257</v>
      </c>
      <c r="AC20" s="97" t="s">
        <v>6</v>
      </c>
      <c r="AD20" s="97" t="s">
        <v>85</v>
      </c>
      <c r="AE20" s="97" t="s">
        <v>74</v>
      </c>
      <c r="AF20" s="97" t="s">
        <v>74</v>
      </c>
      <c r="AG20" s="96" t="s">
        <v>205</v>
      </c>
      <c r="AH20" s="96" t="s">
        <v>6</v>
      </c>
      <c r="AI20" s="96" t="s">
        <v>180</v>
      </c>
      <c r="AJ20" s="96" t="s">
        <v>118</v>
      </c>
      <c r="AK20" s="96" t="s">
        <v>7</v>
      </c>
      <c r="AL20" s="98" t="str">
        <f>C5</f>
        <v>48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s="102" cm="1">
        <f t="array" ref="AQ20">ROUND(PQ2nits((20*$AO20)/(2055+31*65)),3)</f>
        <v>0.15</v>
      </c>
    </row>
    <row r="21" spans="2:54" x14ac:dyDescent="0.3">
      <c r="B21" s="52" t="s">
        <v>171</v>
      </c>
      <c r="C21" s="91" t="str">
        <f t="shared" si="2"/>
        <v>:1074400000fc004550534f4e20504a0a20202020</v>
      </c>
      <c r="D21" s="39"/>
      <c r="E21" s="39"/>
      <c r="F21" s="39"/>
      <c r="G21" s="39" t="str" cm="1">
        <f t="array" ref="G21">IntelHexChecksum(RIGHT(C21,40))</f>
        <v>77</v>
      </c>
      <c r="H21" s="39"/>
      <c r="I21" s="39"/>
      <c r="J21" s="44"/>
      <c r="V21" s="63"/>
      <c r="W21" s="98" t="str">
        <f>G5</f>
        <v>53</v>
      </c>
      <c r="X21" s="98" t="str">
        <f>J5</f>
        <v>10</v>
      </c>
      <c r="Y21" s="98" t="str">
        <f>M5</f>
        <v>56</v>
      </c>
      <c r="Z21" s="98" t="str">
        <f>O5</f>
        <v>98</v>
      </c>
      <c r="AA21" s="98" t="str">
        <f>Q5</f>
        <v>A9</v>
      </c>
      <c r="AB21" s="98" t="str">
        <f>S5</f>
        <v>53</v>
      </c>
      <c r="AC21" s="63" t="s">
        <v>7</v>
      </c>
      <c r="AD21" s="63" t="s">
        <v>7</v>
      </c>
      <c r="AE21" s="63" t="s">
        <v>7</v>
      </c>
      <c r="AF21" s="63" t="s">
        <v>7</v>
      </c>
      <c r="AG21" s="63" t="s">
        <v>7</v>
      </c>
      <c r="AH21" s="63" t="s">
        <v>7</v>
      </c>
      <c r="AI21" s="63" t="s">
        <v>7</v>
      </c>
      <c r="AJ21" s="63" t="s">
        <v>7</v>
      </c>
      <c r="AK21" s="63" t="s">
        <v>7</v>
      </c>
      <c r="AL21" s="63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s="102" cm="1">
        <f t="array" ref="AQ21">ROUND(PQ2nits((20*$AO21)/(2055+31*65)),3)</f>
        <v>0.17599999999999999</v>
      </c>
    </row>
    <row r="22" spans="2:54" x14ac:dyDescent="0.3">
      <c r="B22" s="52" t="s">
        <v>162</v>
      </c>
      <c r="C22" s="91" t="str">
        <f t="shared" si="2"/>
        <v>:107450000107020366f055616066655f5e5d6210</v>
      </c>
      <c r="D22" s="39"/>
      <c r="E22" s="39"/>
      <c r="F22" s="39"/>
      <c r="G22" s="39" t="str" cm="1">
        <f t="array" ref="G22">IntelHexChecksum(RIGHT(C22,40))</f>
        <v>5C</v>
      </c>
      <c r="H22" s="39"/>
      <c r="I22" s="39"/>
      <c r="J22" s="44"/>
      <c r="V22" s="63"/>
      <c r="W22" s="63" t="s">
        <v>7</v>
      </c>
      <c r="X22" s="63" t="s">
        <v>7</v>
      </c>
      <c r="Y22" s="63" t="s">
        <v>7</v>
      </c>
      <c r="Z22" s="63" t="s">
        <v>7</v>
      </c>
      <c r="AA22" s="63" t="s">
        <v>7</v>
      </c>
      <c r="AB22" s="63" t="s">
        <v>7</v>
      </c>
      <c r="AC22" s="63" t="s">
        <v>7</v>
      </c>
      <c r="AD22" s="63" t="s">
        <v>7</v>
      </c>
      <c r="AE22" s="63" t="s">
        <v>7</v>
      </c>
      <c r="AF22" s="63" t="s">
        <v>7</v>
      </c>
      <c r="AG22" s="63" t="s">
        <v>7</v>
      </c>
      <c r="AH22" s="63" t="s">
        <v>7</v>
      </c>
      <c r="AI22" s="63" t="s">
        <v>7</v>
      </c>
      <c r="AJ22" s="63" t="s">
        <v>7</v>
      </c>
      <c r="AK22" s="63" t="s">
        <v>7</v>
      </c>
      <c r="AL22" s="96" t="s">
        <v>108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s="102" cm="1">
        <f t="array" ref="AQ22">ROUND(PQ2nits((20*$AO22)/(2055+31*65)),3)</f>
        <v>0.20399999999999999</v>
      </c>
    </row>
    <row r="23" spans="2:54" x14ac:dyDescent="0.3">
      <c r="B23" s="52" t="s">
        <v>172</v>
      </c>
      <c r="C23" s="91" t="str">
        <f t="shared" si="2"/>
        <v>:107460001f22200514041312110302012c090707</v>
      </c>
      <c r="D23" s="39"/>
      <c r="E23" s="39"/>
      <c r="F23" s="39"/>
      <c r="G23" s="39" t="str" cm="1">
        <f t="array" ref="G23">IntelHexChecksum(RIGHT(C23,40))</f>
        <v>1F</v>
      </c>
      <c r="H23" s="39"/>
      <c r="I23" s="39"/>
      <c r="J23" s="44"/>
      <c r="V23" s="63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s="102" cm="1">
        <f t="array" ref="AQ23">ROUND(PQ2nits((20*$AO23)/(2055+31*65)),3)</f>
        <v>0.23599999999999999</v>
      </c>
    </row>
    <row r="24" spans="2:54" x14ac:dyDescent="0.3">
      <c r="B24" s="52" t="s">
        <v>173</v>
      </c>
      <c r="C24" s="91" t="str">
        <f t="shared" si="2"/>
        <v>:107470000d07075f570057040072030c001000b8</v>
      </c>
      <c r="D24" s="39"/>
      <c r="E24" s="39"/>
      <c r="F24" s="39"/>
      <c r="G24" s="39" t="str" cm="1">
        <f t="array" ref="G24">IntelHexChecksum(RIGHT(C24,40))</f>
        <v>97</v>
      </c>
      <c r="H24" s="39"/>
      <c r="I24" s="39"/>
      <c r="J24" s="44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s="102" cm="1">
        <f t="array" ref="AQ24">ROUND(PQ2nits((20*$AO24)/(2055+31*65)),3)</f>
        <v>0.27100000000000002</v>
      </c>
    </row>
    <row r="25" spans="2:54" x14ac:dyDescent="0.3">
      <c r="B25" s="52" t="s">
        <v>174</v>
      </c>
      <c r="C25" s="91" t="str">
        <f t="shared" si="2"/>
        <v>:107480003ce04242424200800102030467d85dc4</v>
      </c>
      <c r="D25" s="39"/>
      <c r="E25" s="39"/>
      <c r="F25" s="39"/>
      <c r="G25" s="39" t="str" cm="1">
        <f t="array" ref="G25">IntelHexChecksum(RIGHT(C25,40))</f>
        <v>EE</v>
      </c>
      <c r="H25" s="39"/>
      <c r="I25" s="39"/>
      <c r="J25" s="44"/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s="102" cm="1">
        <f t="array" ref="AQ25">ROUND(PQ2nits((20*$AO25)/(2055+31*65)),3)</f>
        <v>0.31</v>
      </c>
    </row>
    <row r="26" spans="2:54" x14ac:dyDescent="0.3">
      <c r="B26" s="52" t="s">
        <v>175</v>
      </c>
      <c r="C26" s="91" t="str">
        <f t="shared" si="2"/>
        <v>:107490000178800b835f0000e200fbe5018b8490</v>
      </c>
      <c r="D26" s="39"/>
      <c r="E26" s="39"/>
      <c r="F26" s="39"/>
      <c r="G26" s="39" t="str" cm="1">
        <f t="array" ref="G26">IntelHexChecksum(RIGHT(C26,40))</f>
        <v>A4</v>
      </c>
      <c r="H26" s="39"/>
      <c r="I26" s="39"/>
      <c r="J26" s="44"/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s="102" cm="1">
        <f t="array" ref="AQ26">ROUND(PQ2nits((20*$AO26)/(2055+31*65)),3)</f>
        <v>0.35299999999999998</v>
      </c>
    </row>
    <row r="27" spans="2:54" x14ac:dyDescent="0.3">
      <c r="B27" s="52" t="s">
        <v>5</v>
      </c>
      <c r="C27" s="91" t="str">
        <f t="shared" si="2"/>
        <v>:1074A00001e305c000e3060d01e20f0feb0146d0</v>
      </c>
      <c r="D27" s="39"/>
      <c r="E27" s="39"/>
      <c r="F27" s="39"/>
      <c r="G27" s="39" t="str" cm="1">
        <f t="array" ref="G27">IntelHexChecksum(RIGHT(C27,40))</f>
        <v>3A</v>
      </c>
      <c r="H27" s="39"/>
      <c r="I27" s="39"/>
      <c r="J27" s="44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s="102" cm="1">
        <f t="array" ref="AQ27">ROUND(PQ2nits((20*$AO27)/(2055+31*65)),3)</f>
        <v>0.39900000000000002</v>
      </c>
    </row>
    <row r="28" spans="2:54" x14ac:dyDescent="0.3">
      <c r="B28" s="52" t="s">
        <v>176</v>
      </c>
      <c r="C28" s="91" t="str">
        <f t="shared" si="2"/>
        <v>:1074B000004853105698A9530000000000000000</v>
      </c>
      <c r="D28" s="39"/>
      <c r="E28" s="39"/>
      <c r="F28" s="39"/>
      <c r="G28" s="39" t="str" cm="1">
        <f t="array" ref="G28">IntelHexChecksum(RIGHT(C28,40))</f>
        <v>37</v>
      </c>
      <c r="H28" s="39"/>
      <c r="I28" s="39"/>
      <c r="J28" s="44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s="102" cm="1">
        <f t="array" ref="AQ28">ROUND(PQ2nits((20*$AO28)/(2055+31*65)),3)</f>
        <v>0.45</v>
      </c>
    </row>
    <row r="29" spans="2:54" x14ac:dyDescent="0.3">
      <c r="B29" s="52" t="s">
        <v>177</v>
      </c>
      <c r="C29" s="91" t="str">
        <f t="shared" si="2"/>
        <v>:1074C00000000000000000000000000000000000</v>
      </c>
      <c r="D29" s="39"/>
      <c r="E29" s="39"/>
      <c r="F29" s="39"/>
      <c r="G29" s="39" t="str" cm="1">
        <f t="array" ref="G29">IntelHexChecksum(RIGHT(C29,40))</f>
        <v>BC</v>
      </c>
      <c r="H29" s="39"/>
      <c r="I29" s="39"/>
      <c r="J29" s="44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s="102" cm="1">
        <f t="array" ref="AQ29">ROUND(PQ2nits((20*$AO29)/(2055+31*65)),3)</f>
        <v>0.50600000000000001</v>
      </c>
    </row>
    <row r="30" spans="2:54" ht="15" thickBot="1" x14ac:dyDescent="0.35">
      <c r="B30" s="94" t="s">
        <v>178</v>
      </c>
      <c r="C30" s="95" t="str">
        <f>_xlfn.CONCAT(":10",RIGHT(B30,4),"00",AK22:AL22,"00FFFFFFFFFFFF00371801000100")</f>
        <v>:1074D000005700FFFFFFFFFFFF00371801000100</v>
      </c>
      <c r="D30" s="47"/>
      <c r="E30" s="47"/>
      <c r="F30" s="47"/>
      <c r="G30" s="47" t="str" cm="1">
        <f t="array" ref="G30">IntelHexChecksum(RIGHT(C30,40))</f>
        <v>0A</v>
      </c>
      <c r="H30" s="47"/>
      <c r="I30" s="47"/>
      <c r="J30" s="48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s="102" cm="1">
        <f t="array" ref="AQ30">ROUND(PQ2nits((20*$AO30)/(2055+31*65)),3)</f>
        <v>0.56599999999999995</v>
      </c>
    </row>
    <row r="31" spans="2:54" x14ac:dyDescent="0.3">
      <c r="B31" s="92"/>
      <c r="C31" s="93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s="102" cm="1">
        <f t="array" ref="AQ31">ROUND(PQ2nits((20*$AO31)/(2055+31*65)),3)</f>
        <v>0.63100000000000001</v>
      </c>
    </row>
    <row r="32" spans="2:54" x14ac:dyDescent="0.3">
      <c r="B32" s="92"/>
      <c r="C32" s="93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s="102" cm="1">
        <f t="array" ref="AQ32">ROUND(PQ2nits((20*$AO32)/(2055+31*65)),3)</f>
        <v>0.70199999999999996</v>
      </c>
    </row>
    <row r="33" spans="2:55" x14ac:dyDescent="0.3">
      <c r="B33" s="92"/>
      <c r="C33" s="93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s="102" cm="1">
        <f t="array" ref="AQ33">ROUND(PQ2nits((20*$AO33)/(2055+31*65)),3)</f>
        <v>0.77900000000000003</v>
      </c>
    </row>
    <row r="34" spans="2:55" x14ac:dyDescent="0.3">
      <c r="B34" s="92"/>
      <c r="C34" s="93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s="102" cm="1">
        <f t="array" ref="AQ34">ROUND(PQ2nits((20*$AO34)/(2055+31*65)),3)</f>
        <v>0.86199999999999999</v>
      </c>
    </row>
    <row r="35" spans="2:55" x14ac:dyDescent="0.3">
      <c r="B35" s="92"/>
      <c r="C35" s="93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s="102" cm="1">
        <f t="array" ref="AQ35">ROUND(PQ2nits((20*$AO35)/(2055+31*65)),3)</f>
        <v>0.95099999999999996</v>
      </c>
    </row>
    <row r="36" spans="2:55" x14ac:dyDescent="0.3">
      <c r="B36" s="92"/>
      <c r="C36" s="93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s="102" cm="1">
        <f t="array" ref="AQ36">ROUND(PQ2nits((20*$AO36)/(2055+31*65)),3)</f>
        <v>1.048</v>
      </c>
    </row>
    <row r="37" spans="2:55" x14ac:dyDescent="0.3">
      <c r="B37" s="92"/>
      <c r="C37" s="93"/>
    </row>
    <row r="38" spans="2:55" x14ac:dyDescent="0.3">
      <c r="B38" s="92"/>
      <c r="C38" s="93"/>
    </row>
    <row r="39" spans="2:55" x14ac:dyDescent="0.3">
      <c r="B39" s="92"/>
      <c r="C39" s="93"/>
    </row>
    <row r="40" spans="2:55" x14ac:dyDescent="0.3"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</row>
    <row r="41" spans="2:55" x14ac:dyDescent="0.3"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</row>
    <row r="42" spans="2:55" x14ac:dyDescent="0.3"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</row>
    <row r="43" spans="2:55" x14ac:dyDescent="0.3"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</row>
    <row r="44" spans="2:55" x14ac:dyDescent="0.3"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</row>
    <row r="45" spans="2:55" x14ac:dyDescent="0.3"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</row>
    <row r="46" spans="2:55" x14ac:dyDescent="0.3"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</row>
    <row r="47" spans="2:55" x14ac:dyDescent="0.3"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</row>
    <row r="48" spans="2:55" x14ac:dyDescent="0.3"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</row>
    <row r="49" spans="23:39" x14ac:dyDescent="0.3"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</row>
    <row r="50" spans="23:39" x14ac:dyDescent="0.3"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</row>
    <row r="51" spans="23:39" x14ac:dyDescent="0.3"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</row>
    <row r="52" spans="23:39" x14ac:dyDescent="0.3"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</row>
    <row r="53" spans="23:39" x14ac:dyDescent="0.3"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</row>
    <row r="54" spans="23:39" x14ac:dyDescent="0.3"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1" priority="4">
      <formula>$E$7="Not Supported"</formula>
    </cfRule>
  </conditionalFormatting>
  <conditionalFormatting sqref="N7">
    <cfRule type="expression" dxfId="10" priority="3">
      <formula>$P$7="Supported"</formula>
    </cfRule>
  </conditionalFormatting>
  <conditionalFormatting sqref="P7">
    <cfRule type="expression" dxfId="9" priority="2">
      <formula>$N$7="Supported"</formula>
    </cfRule>
  </conditionalFormatting>
  <conditionalFormatting sqref="N7 P7">
    <cfRule type="expression" dxfId="8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6E252AFF-3DEF-432B-9DA8-18AD54987DA7}">
      <formula1>$AN$5:$AN$36</formula1>
    </dataValidation>
    <dataValidation type="list" allowBlank="1" showInputMessage="1" showErrorMessage="1" sqref="I7" xr:uid="{DBE24434-B321-4C44-A9F5-38CC43C8272C}">
      <formula1>$AR$5:$AR$9</formula1>
    </dataValidation>
    <dataValidation type="list" allowBlank="1" showInputMessage="1" showErrorMessage="1" sqref="I3" xr:uid="{94FF8FAE-6024-4553-8C7D-5903192915E7}">
      <formula1>$AU$15:$AU$17</formula1>
    </dataValidation>
    <dataValidation type="list" allowBlank="1" showInputMessage="1" showErrorMessage="1" sqref="L7" xr:uid="{E52BC077-C4B1-459F-946E-AA2DD064F521}">
      <formula1>$AU$5:$AU$8</formula1>
    </dataValidation>
    <dataValidation type="list" allowBlank="1" showInputMessage="1" showErrorMessage="1" sqref="E7:F7 H7 N7 P7" xr:uid="{D2D559CC-5A0A-4259-9430-8F0ED787357D}">
      <formula1>"Supported, Not Supported"</formula1>
    </dataValidation>
    <dataValidation type="list" allowBlank="1" showInputMessage="1" showErrorMessage="1" sqref="G7" xr:uid="{B573D50B-CB86-4CB4-BB93-A7456A5F6D23}">
      <formula1>$AQ$5:$AQ$36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586740</xdr:colOff>
                    <xdr:row>10</xdr:row>
                    <xdr:rowOff>106680</xdr:rowOff>
                  </from>
                  <to>
                    <xdr:col>13</xdr:col>
                    <xdr:colOff>350520</xdr:colOff>
                    <xdr:row>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777240</xdr:colOff>
                    <xdr:row>9</xdr:row>
                    <xdr:rowOff>7620</xdr:rowOff>
                  </from>
                  <to>
                    <xdr:col>1</xdr:col>
                    <xdr:colOff>1028700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777240</xdr:colOff>
                    <xdr:row>10</xdr:row>
                    <xdr:rowOff>0</xdr:rowOff>
                  </from>
                  <to>
                    <xdr:col>1</xdr:col>
                    <xdr:colOff>1028700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1882D-F044-45A7-9609-EC38969C46AD}">
  <sheetPr codeName="Sheet9"/>
  <dimension ref="B2:BC54"/>
  <sheetViews>
    <sheetView zoomScale="90" zoomScaleNormal="90" workbookViewId="0">
      <selection activeCell="O12" sqref="O12"/>
    </sheetView>
  </sheetViews>
  <sheetFormatPr defaultRowHeight="14.4" x14ac:dyDescent="0.3"/>
  <cols>
    <col min="2" max="2" width="14.21875" customWidth="1"/>
    <col min="3" max="3" width="7.44140625" customWidth="1"/>
    <col min="4" max="4" width="11" customWidth="1"/>
    <col min="5" max="5" width="12.77734375" customWidth="1"/>
    <col min="6" max="6" width="15.33203125" customWidth="1"/>
    <col min="7" max="7" width="8.88671875" customWidth="1"/>
    <col min="8" max="8" width="10.6640625" customWidth="1"/>
    <col min="9" max="9" width="10" customWidth="1"/>
    <col min="10" max="10" width="12.6640625" customWidth="1"/>
    <col min="11" max="11" width="9.21875" customWidth="1"/>
    <col min="12" max="12" width="16.21875" customWidth="1"/>
    <col min="13" max="13" width="10" customWidth="1"/>
    <col min="14" max="14" width="13.21875" customWidth="1"/>
    <col min="15" max="15" width="8.44140625" customWidth="1"/>
    <col min="16" max="16" width="12.88671875" customWidth="1"/>
    <col min="17" max="20" width="7.44140625" customWidth="1"/>
    <col min="21" max="21" width="12.5546875" customWidth="1"/>
    <col min="22" max="22" width="7.44140625" customWidth="1"/>
    <col min="23" max="38" width="4.33203125" customWidth="1"/>
    <col min="47" max="47" width="24.5546875" customWidth="1"/>
  </cols>
  <sheetData>
    <row r="2" spans="2:54" ht="15" thickBot="1" x14ac:dyDescent="0.35"/>
    <row r="3" spans="2:54" ht="15" thickBot="1" x14ac:dyDescent="0.35">
      <c r="H3" s="35" t="s">
        <v>31</v>
      </c>
      <c r="I3" s="37" t="s">
        <v>43</v>
      </c>
      <c r="W3" s="65" t="s">
        <v>163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61" t="s">
        <v>66</v>
      </c>
      <c r="C5" s="106" t="str">
        <f>DEC2HEX(_xlfn.BITLSHIFT(BIN2DEC(C8),5)+_xlfn.BITLSHIFT(BIN2DEC(D8),2)+_xlfn.BITLSHIFT(BIN2DEC(E8),1)+BIN2DEC(F8))</f>
        <v>47</v>
      </c>
      <c r="D5" s="106"/>
      <c r="E5" s="106"/>
      <c r="F5" s="107"/>
      <c r="G5" s="108" t="str">
        <f>DEC2HEX(_xlfn.BITLSHIFT(BIN2DEC(G8),3)+_xlfn.BITLSHIFT(BIN2DEC(H8),2)+BIN2DEC(I8),2)</f>
        <v>07</v>
      </c>
      <c r="H5" s="104"/>
      <c r="I5" s="105"/>
      <c r="J5" s="108" t="str">
        <f>DEC2HEX(_xlfn.BITLSHIFT(BIN2DEC(J8),3)+_xlfn.BITLSHIFT(BIN2DEC(K8),1)+BIN2DEC(L8),2)</f>
        <v>F8</v>
      </c>
      <c r="K5" s="104"/>
      <c r="L5" s="105"/>
      <c r="M5" s="104" t="str">
        <f>BIN2HEX(_xlfn.CONCAT(M8,N8),2)</f>
        <v>57</v>
      </c>
      <c r="N5" s="105"/>
      <c r="O5" s="104" t="str">
        <f>BIN2HEX(_xlfn.CONCAT(O8,P8),2)</f>
        <v>98</v>
      </c>
      <c r="P5" s="105"/>
      <c r="Q5" s="104" t="str">
        <f>BIN2HEX(_xlfn.CONCAT(Q8,R8),2)</f>
        <v>A9</v>
      </c>
      <c r="R5" s="105"/>
      <c r="S5" s="104" t="str">
        <f>BIN2HEX(_xlfn.CONCAT(S8,T8),2)</f>
        <v>53</v>
      </c>
      <c r="T5" s="105"/>
      <c r="W5" s="84">
        <v>0</v>
      </c>
      <c r="X5" s="85">
        <v>1</v>
      </c>
      <c r="Y5" s="85">
        <v>2</v>
      </c>
      <c r="Z5" s="85">
        <v>3</v>
      </c>
      <c r="AA5" s="85">
        <v>4</v>
      </c>
      <c r="AB5" s="85">
        <v>5</v>
      </c>
      <c r="AC5" s="85">
        <v>6</v>
      </c>
      <c r="AD5" s="85">
        <v>7</v>
      </c>
      <c r="AE5" s="85">
        <v>8</v>
      </c>
      <c r="AF5" s="85">
        <v>9</v>
      </c>
      <c r="AG5" s="85">
        <v>10</v>
      </c>
      <c r="AH5" s="85">
        <v>11</v>
      </c>
      <c r="AI5" s="85">
        <v>12</v>
      </c>
      <c r="AJ5" s="85">
        <v>13</v>
      </c>
      <c r="AK5" s="85">
        <v>14</v>
      </c>
      <c r="AL5" s="86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s="102" cm="1">
        <f t="array" ref="AQ5">ROUND(PQ2nits((20*$AO5)/(2055+31*65)),3)</f>
        <v>0</v>
      </c>
      <c r="AR5" s="12" t="s">
        <v>22</v>
      </c>
      <c r="AS5" s="11" t="s">
        <v>7</v>
      </c>
      <c r="AU5" s="13" t="s">
        <v>35</v>
      </c>
      <c r="AV5" s="6" t="s">
        <v>7</v>
      </c>
    </row>
    <row r="6" spans="2:54" ht="30.75" customHeight="1" x14ac:dyDescent="0.3">
      <c r="B6" s="60" t="s">
        <v>67</v>
      </c>
      <c r="C6" s="56" t="s">
        <v>10</v>
      </c>
      <c r="D6" s="30" t="s">
        <v>12</v>
      </c>
      <c r="E6" s="31" t="s">
        <v>17</v>
      </c>
      <c r="F6" s="32" t="s">
        <v>8</v>
      </c>
      <c r="G6" s="33" t="s">
        <v>60</v>
      </c>
      <c r="H6" s="31" t="s">
        <v>40</v>
      </c>
      <c r="I6" s="34" t="s">
        <v>59</v>
      </c>
      <c r="J6" s="33" t="s">
        <v>61</v>
      </c>
      <c r="K6" s="30" t="s">
        <v>11</v>
      </c>
      <c r="L6" s="32" t="s">
        <v>37</v>
      </c>
      <c r="M6" s="30" t="s">
        <v>58</v>
      </c>
      <c r="N6" s="32" t="s">
        <v>24</v>
      </c>
      <c r="O6" s="30" t="s">
        <v>57</v>
      </c>
      <c r="P6" s="32" t="s">
        <v>23</v>
      </c>
      <c r="Q6" s="30" t="s">
        <v>56</v>
      </c>
      <c r="R6" s="32" t="s">
        <v>14</v>
      </c>
      <c r="S6" s="30" t="s">
        <v>55</v>
      </c>
      <c r="T6" s="32" t="s">
        <v>13</v>
      </c>
      <c r="V6" s="65" t="s">
        <v>68</v>
      </c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s="102" cm="1">
        <f t="array" ref="AQ6">ROUND(PQ2nits((20*$AO6)/(2055+31*65)),3)</f>
        <v>1E-3</v>
      </c>
      <c r="AR6" s="12" t="s">
        <v>21</v>
      </c>
      <c r="AS6" s="11" t="s">
        <v>6</v>
      </c>
      <c r="AU6" s="13" t="s">
        <v>36</v>
      </c>
      <c r="AV6" s="6" t="s">
        <v>6</v>
      </c>
    </row>
    <row r="7" spans="2:54" x14ac:dyDescent="0.3">
      <c r="B7" s="59"/>
      <c r="C7" s="57">
        <v>2</v>
      </c>
      <c r="D7" s="10" t="s">
        <v>20</v>
      </c>
      <c r="E7" s="14" t="s">
        <v>18</v>
      </c>
      <c r="F7" s="14" t="s">
        <v>18</v>
      </c>
      <c r="G7" s="103">
        <v>0</v>
      </c>
      <c r="H7" s="14" t="s">
        <v>18</v>
      </c>
      <c r="I7" s="15" t="s">
        <v>27</v>
      </c>
      <c r="J7" s="26">
        <v>10000</v>
      </c>
      <c r="K7" s="27">
        <v>0</v>
      </c>
      <c r="L7" s="16" t="s">
        <v>35</v>
      </c>
      <c r="M7" s="23">
        <f>INDEX(AX15:AX17,MATCH(I3,AU15:AU17,0))</f>
        <v>0.17</v>
      </c>
      <c r="N7" s="36" t="s">
        <v>18</v>
      </c>
      <c r="O7" s="24">
        <f>INDEX(AY15:AY17,MATCH($I$3,$AU$15:$AU$17,0))</f>
        <v>0.79700000000000004</v>
      </c>
      <c r="P7" s="36" t="s">
        <v>19</v>
      </c>
      <c r="Q7" s="24">
        <f>INDEX(AV15:AV17,MATCH($I$3,$AU$15:$AU$17,0))</f>
        <v>0.70799999999999996</v>
      </c>
      <c r="R7" s="25">
        <f>INDEX(AZ15:AZ17,MATCH($I$3,$AU$15:$AU$17,0))</f>
        <v>0.13100000000000001</v>
      </c>
      <c r="S7" s="23">
        <f>INDEX(AW15:AW17,MATCH($I$3,$AU$15:$AU$17,0))</f>
        <v>0.29199999999999998</v>
      </c>
      <c r="T7" s="25">
        <f>INDEX(BA15:BA17,MATCH($I$3,$AU$15:$AU$17,0))</f>
        <v>4.5999999999999999E-2</v>
      </c>
      <c r="V7" s="63"/>
      <c r="W7" s="63" t="s">
        <v>7</v>
      </c>
      <c r="X7" s="63" t="s">
        <v>127</v>
      </c>
      <c r="Y7" s="63" t="s">
        <v>127</v>
      </c>
      <c r="Z7" s="63" t="s">
        <v>127</v>
      </c>
      <c r="AA7" s="63" t="s">
        <v>127</v>
      </c>
      <c r="AB7" s="63" t="s">
        <v>127</v>
      </c>
      <c r="AC7" s="63" t="s">
        <v>127</v>
      </c>
      <c r="AD7" s="63" t="s">
        <v>7</v>
      </c>
      <c r="AE7" s="63" t="s">
        <v>77</v>
      </c>
      <c r="AF7" s="63" t="s">
        <v>296</v>
      </c>
      <c r="AG7" s="63" t="s">
        <v>6</v>
      </c>
      <c r="AH7" s="63" t="s">
        <v>7</v>
      </c>
      <c r="AI7" s="63" t="s">
        <v>6</v>
      </c>
      <c r="AJ7" s="63" t="s">
        <v>6</v>
      </c>
      <c r="AK7" s="63" t="s">
        <v>6</v>
      </c>
      <c r="AL7" s="63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s="102" cm="1">
        <f t="array" ref="AQ7">ROUND(PQ2nits((20*$AO7)/(2055+31*65)),3)</f>
        <v>2E-3</v>
      </c>
      <c r="AR7" s="12" t="s">
        <v>26</v>
      </c>
      <c r="AS7" s="11" t="s">
        <v>28</v>
      </c>
      <c r="AU7" s="13" t="s">
        <v>38</v>
      </c>
      <c r="AV7" s="6" t="s">
        <v>28</v>
      </c>
    </row>
    <row r="8" spans="2:54" s="7" customFormat="1" ht="15" thickBot="1" x14ac:dyDescent="0.35">
      <c r="B8" s="62"/>
      <c r="C8" s="58" t="s">
        <v>15</v>
      </c>
      <c r="D8" s="17" t="s">
        <v>16</v>
      </c>
      <c r="E8" s="18">
        <f>IF(EXACT(E7,"Supported"),1,0)</f>
        <v>1</v>
      </c>
      <c r="F8" s="18">
        <f>IF(EXACT(F7,"Supported"),1,0)</f>
        <v>1</v>
      </c>
      <c r="G8" s="20" t="str">
        <f>DEC2BIN(_xlfn.XLOOKUP(G7,AQ5:AQ36,AO5:AO36),5)</f>
        <v>00000</v>
      </c>
      <c r="H8" s="18">
        <f>IF(EXACT(H7,"Supported"),1,0)</f>
        <v>1</v>
      </c>
      <c r="I8" s="19" t="str">
        <f>IF(EXACT(E7,"Not Supported"),"11",INDEX(AS5:AS8,MATCH(I7,AR5:AR8,0)))</f>
        <v>11</v>
      </c>
      <c r="J8" s="20" t="str">
        <f>DEC2BIN(VLOOKUP(J7,AN5:AO36,2),5)</f>
        <v>11111</v>
      </c>
      <c r="K8" s="28">
        <v>0</v>
      </c>
      <c r="L8" s="19" t="str">
        <f>VLOOKUP(L7,AU5:AV8,2)</f>
        <v>00</v>
      </c>
      <c r="M8" s="29" t="str">
        <f>DEC2BIN(M7/( 0.49609375/127),7)</f>
        <v>0101011</v>
      </c>
      <c r="N8" s="21">
        <f>IF(AND(EXACT(N7,"Supported"),EXACT(P7,"Not Supported")),1,0)</f>
        <v>1</v>
      </c>
      <c r="O8" s="29" t="str">
        <f>DEC2BIN((O7-0.5)/((0.99609375-0.5)/127),7)</f>
        <v>1001100</v>
      </c>
      <c r="P8" s="21">
        <f>IF(AND(EXACT(P7,"Supported"),EXACT(N7,"Not Supported")),1,0)</f>
        <v>0</v>
      </c>
      <c r="Q8" s="20" t="str">
        <f>DEC2BIN((Q7-0.625)/((0.74609375-0.625)/31),5)</f>
        <v>10101</v>
      </c>
      <c r="R8" s="19" t="str">
        <f>DEC2BIN((R7-0.125)/((0.15234375-0.125)/7),3)</f>
        <v>001</v>
      </c>
      <c r="S8" s="20" t="str">
        <f>DEC2BIN((S7-0.25)/((0.37109375-0.25)/31),5)</f>
        <v>01010</v>
      </c>
      <c r="T8" s="19" t="str">
        <f>DEC2BIN((T7-0.03125)/((0.05859375-0.03125)/7),3)</f>
        <v>011</v>
      </c>
      <c r="V8" s="63"/>
      <c r="W8" s="63" t="s">
        <v>6</v>
      </c>
      <c r="X8" s="63" t="s">
        <v>77</v>
      </c>
      <c r="Y8" s="63" t="s">
        <v>6</v>
      </c>
      <c r="Z8" s="63" t="s">
        <v>89</v>
      </c>
      <c r="AA8" s="63" t="s">
        <v>112</v>
      </c>
      <c r="AB8" s="63" t="s">
        <v>311</v>
      </c>
      <c r="AC8" s="63" t="s">
        <v>147</v>
      </c>
      <c r="AD8" s="63" t="s">
        <v>113</v>
      </c>
      <c r="AE8" s="63" t="s">
        <v>117</v>
      </c>
      <c r="AF8" s="63" t="s">
        <v>312</v>
      </c>
      <c r="AG8" s="63" t="s">
        <v>313</v>
      </c>
      <c r="AH8" s="63" t="s">
        <v>129</v>
      </c>
      <c r="AI8" s="63" t="s">
        <v>191</v>
      </c>
      <c r="AJ8" s="63" t="s">
        <v>135</v>
      </c>
      <c r="AK8" s="63" t="s">
        <v>192</v>
      </c>
      <c r="AL8" s="63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s="102" cm="1">
        <f t="array" ref="AQ8">ROUND(PQ2nits((20*$AO8)/(2055+31*65)),3)</f>
        <v>5.0000000000000001E-3</v>
      </c>
      <c r="AR8" s="11" t="s">
        <v>27</v>
      </c>
      <c r="AS8" s="11" t="s">
        <v>29</v>
      </c>
      <c r="AU8" s="13" t="s">
        <v>39</v>
      </c>
      <c r="AV8" s="8" t="s">
        <v>29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3"/>
      <c r="W9" s="63" t="s">
        <v>74</v>
      </c>
      <c r="X9" s="63" t="s">
        <v>106</v>
      </c>
      <c r="Y9" s="63" t="s">
        <v>191</v>
      </c>
      <c r="Z9" s="63" t="s">
        <v>314</v>
      </c>
      <c r="AA9" s="63" t="s">
        <v>140</v>
      </c>
      <c r="AB9" s="63" t="s">
        <v>7</v>
      </c>
      <c r="AC9" s="63" t="s">
        <v>278</v>
      </c>
      <c r="AD9" s="63" t="s">
        <v>104</v>
      </c>
      <c r="AE9" s="63" t="s">
        <v>142</v>
      </c>
      <c r="AF9" s="63" t="s">
        <v>104</v>
      </c>
      <c r="AG9" s="63" t="s">
        <v>91</v>
      </c>
      <c r="AH9" s="63" t="s">
        <v>104</v>
      </c>
      <c r="AI9" s="63" t="s">
        <v>151</v>
      </c>
      <c r="AJ9" s="63" t="s">
        <v>104</v>
      </c>
      <c r="AK9" s="63" t="s">
        <v>141</v>
      </c>
      <c r="AL9" s="63" t="s">
        <v>112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s="102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9" t="s">
        <v>63</v>
      </c>
      <c r="C10" s="40" t="s">
        <v>65</v>
      </c>
      <c r="D10" s="41"/>
      <c r="E10" s="41"/>
      <c r="F10" s="41"/>
      <c r="G10" s="41"/>
      <c r="H10" s="41"/>
      <c r="I10" s="41"/>
      <c r="J10" s="42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3"/>
      <c r="W10" s="63" t="s">
        <v>315</v>
      </c>
      <c r="X10" s="63" t="s">
        <v>81</v>
      </c>
      <c r="Y10" s="63" t="s">
        <v>6</v>
      </c>
      <c r="Z10" s="63" t="s">
        <v>6</v>
      </c>
      <c r="AA10" s="63" t="s">
        <v>6</v>
      </c>
      <c r="AB10" s="63" t="s">
        <v>6</v>
      </c>
      <c r="AC10" s="63" t="s">
        <v>95</v>
      </c>
      <c r="AD10" s="63" t="s">
        <v>134</v>
      </c>
      <c r="AE10" s="63" t="s">
        <v>7</v>
      </c>
      <c r="AF10" s="63" t="s">
        <v>145</v>
      </c>
      <c r="AG10" s="63" t="s">
        <v>71</v>
      </c>
      <c r="AH10" s="63" t="s">
        <v>146</v>
      </c>
      <c r="AI10" s="63" t="s">
        <v>147</v>
      </c>
      <c r="AJ10" s="63" t="s">
        <v>112</v>
      </c>
      <c r="AK10" s="63" t="s">
        <v>136</v>
      </c>
      <c r="AL10" s="63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s="102" cm="1">
        <f t="array" ref="AQ10">ROUND(PQ2nits((20*$AO10)/(2055+31*65)),3)</f>
        <v>1.2999999999999999E-2</v>
      </c>
      <c r="AR10" s="5"/>
    </row>
    <row r="11" spans="2:54" ht="15" thickBot="1" x14ac:dyDescent="0.35">
      <c r="B11" s="50" t="s">
        <v>64</v>
      </c>
      <c r="C11" s="38" t="s">
        <v>255</v>
      </c>
      <c r="D11" s="9"/>
      <c r="E11" s="9"/>
      <c r="F11" s="9"/>
      <c r="G11" s="9"/>
      <c r="H11" s="9"/>
      <c r="I11" s="9"/>
      <c r="J11" s="43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3"/>
      <c r="W11" s="63" t="s">
        <v>119</v>
      </c>
      <c r="X11" s="63" t="s">
        <v>7</v>
      </c>
      <c r="Y11" s="63" t="s">
        <v>190</v>
      </c>
      <c r="Z11" s="63" t="s">
        <v>106</v>
      </c>
      <c r="AA11" s="63" t="s">
        <v>125</v>
      </c>
      <c r="AB11" s="63" t="s">
        <v>7</v>
      </c>
      <c r="AC11" s="63" t="s">
        <v>7</v>
      </c>
      <c r="AD11" s="63" t="s">
        <v>77</v>
      </c>
      <c r="AE11" s="63" t="s">
        <v>94</v>
      </c>
      <c r="AF11" s="63" t="s">
        <v>125</v>
      </c>
      <c r="AG11" s="63" t="s">
        <v>106</v>
      </c>
      <c r="AH11" s="63" t="s">
        <v>136</v>
      </c>
      <c r="AI11" s="63" t="s">
        <v>274</v>
      </c>
      <c r="AJ11" s="63" t="s">
        <v>7</v>
      </c>
      <c r="AK11" s="63" t="s">
        <v>316</v>
      </c>
      <c r="AL11" s="63" t="s">
        <v>145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s="102" cm="1">
        <f t="array" ref="AQ11">ROUND(PQ2nits((20*$AO11)/(2055+31*65)),3)</f>
        <v>1.9E-2</v>
      </c>
      <c r="AR11" s="5"/>
    </row>
    <row r="12" spans="2:54" x14ac:dyDescent="0.3">
      <c r="B12" s="53" t="s">
        <v>0</v>
      </c>
      <c r="C12" s="54" t="str">
        <f>_xlfn.CONCAT(B5:T5)</f>
        <v>EB0146D0004707F85798A953</v>
      </c>
      <c r="D12" s="54"/>
      <c r="E12" s="54"/>
      <c r="F12" s="54"/>
      <c r="G12" s="54"/>
      <c r="H12" s="54"/>
      <c r="I12" s="54"/>
      <c r="J12" s="55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3"/>
      <c r="W12" s="63" t="s">
        <v>104</v>
      </c>
      <c r="X12" s="63" t="s">
        <v>146</v>
      </c>
      <c r="Y12" s="63" t="s">
        <v>317</v>
      </c>
      <c r="Z12" s="63" t="s">
        <v>7</v>
      </c>
      <c r="AA12" s="63" t="s">
        <v>104</v>
      </c>
      <c r="AB12" s="63" t="s">
        <v>193</v>
      </c>
      <c r="AC12" s="63" t="s">
        <v>194</v>
      </c>
      <c r="AD12" s="63" t="s">
        <v>7</v>
      </c>
      <c r="AE12" s="63" t="s">
        <v>7</v>
      </c>
      <c r="AF12" s="63" t="s">
        <v>77</v>
      </c>
      <c r="AG12" s="63" t="s">
        <v>7</v>
      </c>
      <c r="AH12" s="63" t="s">
        <v>7</v>
      </c>
      <c r="AI12" s="63" t="s">
        <v>7</v>
      </c>
      <c r="AJ12" s="63" t="s">
        <v>158</v>
      </c>
      <c r="AK12" s="63" t="s">
        <v>7</v>
      </c>
      <c r="AL12" s="63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s="102" cm="1">
        <f t="array" ref="AQ12">ROUND(PQ2nits((20*$AO12)/(2055+31*65)),3)</f>
        <v>2.5999999999999999E-2</v>
      </c>
    </row>
    <row r="13" spans="2:54" x14ac:dyDescent="0.3">
      <c r="B13" s="51" t="s">
        <v>62</v>
      </c>
      <c r="C13" s="45" t="str" cm="1">
        <f t="array" ref="C13">EDIDCheckSum(C12)</f>
        <v>A7</v>
      </c>
      <c r="D13" s="39"/>
      <c r="E13" s="39"/>
      <c r="F13" s="39"/>
      <c r="G13" s="39"/>
      <c r="H13" s="39"/>
      <c r="I13" s="39"/>
      <c r="J13" s="44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3"/>
      <c r="W13" s="63" t="s">
        <v>113</v>
      </c>
      <c r="X13" s="63" t="s">
        <v>77</v>
      </c>
      <c r="Y13" s="63" t="s">
        <v>160</v>
      </c>
      <c r="Z13" s="63" t="s">
        <v>84</v>
      </c>
      <c r="AA13" s="63" t="s">
        <v>7</v>
      </c>
      <c r="AB13" s="63" t="s">
        <v>117</v>
      </c>
      <c r="AC13" s="63" t="s">
        <v>102</v>
      </c>
      <c r="AD13" s="63" t="s">
        <v>102</v>
      </c>
      <c r="AE13" s="63" t="s">
        <v>102</v>
      </c>
      <c r="AF13" s="63" t="s">
        <v>102</v>
      </c>
      <c r="AG13" s="63" t="s">
        <v>102</v>
      </c>
      <c r="AH13" s="63" t="s">
        <v>102</v>
      </c>
      <c r="AI13" s="63" t="s">
        <v>7</v>
      </c>
      <c r="AJ13" s="63" t="s">
        <v>7</v>
      </c>
      <c r="AK13" s="63" t="s">
        <v>7</v>
      </c>
      <c r="AL13" s="63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s="102" cm="1">
        <f t="array" ref="AQ13">ROUND(PQ2nits((20*$AO13)/(2055+31*65)),3)</f>
        <v>3.5000000000000003E-2</v>
      </c>
    </row>
    <row r="14" spans="2:54" x14ac:dyDescent="0.3">
      <c r="B14" s="52" t="s">
        <v>164</v>
      </c>
      <c r="C14" s="91" t="str">
        <f>_xlfn.CONCAT(":1073D0000086",_xlfn.CONCAT(W7:AJ7))</f>
        <v>:1073D000008600ffffffffffff001e6d01000101</v>
      </c>
      <c r="D14" s="39"/>
      <c r="E14" s="39"/>
      <c r="F14" s="39"/>
      <c r="G14" s="39" t="str" cm="1">
        <f t="array" ref="G14">IntelHexChecksum(RIGHT(C14,40))</f>
        <v>9F</v>
      </c>
      <c r="H14" s="39"/>
      <c r="I14" s="39"/>
      <c r="J14" s="44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3"/>
      <c r="W14" s="63" t="s">
        <v>7</v>
      </c>
      <c r="X14" s="63" t="s">
        <v>135</v>
      </c>
      <c r="Y14" s="63" t="s">
        <v>252</v>
      </c>
      <c r="Z14" s="63" t="s">
        <v>102</v>
      </c>
      <c r="AA14" s="63" t="s">
        <v>106</v>
      </c>
      <c r="AB14" s="63" t="s">
        <v>241</v>
      </c>
      <c r="AC14" s="63" t="s">
        <v>156</v>
      </c>
      <c r="AD14" s="63" t="s">
        <v>187</v>
      </c>
      <c r="AE14" s="63" t="s">
        <v>142</v>
      </c>
      <c r="AF14" s="63" t="s">
        <v>155</v>
      </c>
      <c r="AG14" s="63" t="s">
        <v>191</v>
      </c>
      <c r="AH14" s="63" t="s">
        <v>156</v>
      </c>
      <c r="AI14" s="63" t="s">
        <v>241</v>
      </c>
      <c r="AJ14" s="63" t="s">
        <v>117</v>
      </c>
      <c r="AK14" s="63" t="s">
        <v>6</v>
      </c>
      <c r="AL14" s="63" t="s">
        <v>187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s="102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52" t="s">
        <v>165</v>
      </c>
      <c r="C15" s="91" t="str">
        <f>_xlfn.CONCAT(":10",RIGHT(B15,4),"00",AK7:AL7,W8:AJ8)</f>
        <v>:1073E0000101011e010380a05a780aee91a3544c</v>
      </c>
      <c r="D15" s="39"/>
      <c r="E15" s="39"/>
      <c r="F15" s="39"/>
      <c r="G15" s="39" t="str" cm="1">
        <f t="array" ref="G15">IntelHexChecksum(RIGHT(C15,40))</f>
        <v>BA</v>
      </c>
      <c r="H15" s="39"/>
      <c r="I15" s="39"/>
      <c r="J15" s="44"/>
      <c r="V15" s="65" t="s">
        <v>69</v>
      </c>
      <c r="W15" s="63" t="s">
        <v>88</v>
      </c>
      <c r="X15" s="63" t="s">
        <v>89</v>
      </c>
      <c r="Y15" s="96" t="s">
        <v>190</v>
      </c>
      <c r="Z15" s="63" t="s">
        <v>318</v>
      </c>
      <c r="AA15" s="63" t="s">
        <v>147</v>
      </c>
      <c r="AB15" s="63" t="s">
        <v>78</v>
      </c>
      <c r="AC15" s="63" t="s">
        <v>78</v>
      </c>
      <c r="AD15" s="63" t="s">
        <v>28</v>
      </c>
      <c r="AE15" s="63" t="s">
        <v>72</v>
      </c>
      <c r="AF15" s="63" t="s">
        <v>253</v>
      </c>
      <c r="AG15" s="63" t="s">
        <v>253</v>
      </c>
      <c r="AH15" s="63" t="s">
        <v>95</v>
      </c>
      <c r="AI15" s="63" t="s">
        <v>99</v>
      </c>
      <c r="AJ15" s="63" t="s">
        <v>95</v>
      </c>
      <c r="AK15" s="63" t="s">
        <v>95</v>
      </c>
      <c r="AL15" s="63" t="s">
        <v>89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s="102" cm="1">
        <f t="array" ref="AQ15">ROUND(PQ2nits((20*$AO15)/(2055+31*65)),3)</f>
        <v>5.8000000000000003E-2</v>
      </c>
      <c r="AU15" s="6" t="s">
        <v>42</v>
      </c>
      <c r="AV15" s="22">
        <v>0.64</v>
      </c>
      <c r="AW15" s="22">
        <v>0.33</v>
      </c>
      <c r="AX15" s="22">
        <v>0.3</v>
      </c>
      <c r="AY15" s="22">
        <v>0.6</v>
      </c>
      <c r="AZ15" s="22">
        <v>0.15</v>
      </c>
      <c r="BA15" s="22">
        <v>0.06</v>
      </c>
      <c r="BB15" t="s">
        <v>53</v>
      </c>
    </row>
    <row r="16" spans="2:54" x14ac:dyDescent="0.3">
      <c r="B16" s="52" t="s">
        <v>166</v>
      </c>
      <c r="C16" s="91" t="str">
        <f t="shared" ref="C16:C29" si="2">_xlfn.CONCAT(":10",RIGHT(B16,4),"00",AK8:AL8,W9:AJ9)</f>
        <v>:1073F00099260f5054a108003140454061407140</v>
      </c>
      <c r="D16" s="39"/>
      <c r="E16" s="39"/>
      <c r="F16" s="39"/>
      <c r="G16" s="39" t="str" cm="1">
        <f t="array" ref="G16">IntelHexChecksum(RIGHT(C16,40))</f>
        <v>2A</v>
      </c>
      <c r="H16" s="39"/>
      <c r="I16" s="39"/>
      <c r="J16" s="44"/>
      <c r="V16" s="63"/>
      <c r="W16" s="63" t="s">
        <v>88</v>
      </c>
      <c r="X16" s="63" t="s">
        <v>98</v>
      </c>
      <c r="Y16" s="63" t="s">
        <v>102</v>
      </c>
      <c r="Z16" s="63" t="s">
        <v>125</v>
      </c>
      <c r="AA16" s="63" t="s">
        <v>103</v>
      </c>
      <c r="AB16" s="63" t="s">
        <v>95</v>
      </c>
      <c r="AC16" s="63" t="s">
        <v>6</v>
      </c>
      <c r="AD16" s="63" t="s">
        <v>70</v>
      </c>
      <c r="AE16" s="63" t="s">
        <v>197</v>
      </c>
      <c r="AF16" s="63" t="s">
        <v>78</v>
      </c>
      <c r="AG16" s="63" t="s">
        <v>198</v>
      </c>
      <c r="AH16" s="63" t="s">
        <v>194</v>
      </c>
      <c r="AI16" s="63" t="s">
        <v>253</v>
      </c>
      <c r="AJ16" s="63" t="s">
        <v>73</v>
      </c>
      <c r="AK16" s="63" t="s">
        <v>104</v>
      </c>
      <c r="AL16" s="63" t="s">
        <v>137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s="102" cm="1">
        <f t="array" ref="AQ16">ROUND(PQ2nits((20*$AO16)/(2055+31*65)),3)</f>
        <v>7.1999999999999995E-2</v>
      </c>
      <c r="AU16" s="6" t="s">
        <v>43</v>
      </c>
      <c r="AV16" s="22">
        <v>0.70799999999999996</v>
      </c>
      <c r="AW16" s="22">
        <v>0.29199999999999998</v>
      </c>
      <c r="AX16" s="22">
        <v>0.17</v>
      </c>
      <c r="AY16" s="22">
        <v>0.79700000000000004</v>
      </c>
      <c r="AZ16" s="22">
        <v>0.13100000000000001</v>
      </c>
      <c r="BA16" s="22">
        <v>4.5999999999999999E-2</v>
      </c>
      <c r="BB16" t="s">
        <v>51</v>
      </c>
    </row>
    <row r="17" spans="2:54" x14ac:dyDescent="0.3">
      <c r="B17" s="52" t="s">
        <v>167</v>
      </c>
      <c r="C17" s="91" t="str">
        <f t="shared" si="2"/>
        <v>:107400008180d1c00101010104740030f2705a80</v>
      </c>
      <c r="D17" s="39"/>
      <c r="E17" s="39"/>
      <c r="F17" s="39"/>
      <c r="G17" s="39" t="str" cm="1">
        <f t="array" ref="G17">IntelHexChecksum(RIGHT(C17,40))</f>
        <v>02</v>
      </c>
      <c r="H17" s="39"/>
      <c r="I17" s="39"/>
      <c r="J17" s="44"/>
      <c r="V17" s="63"/>
      <c r="W17" s="63" t="s">
        <v>138</v>
      </c>
      <c r="X17" s="63" t="s">
        <v>108</v>
      </c>
      <c r="Y17" s="63" t="s">
        <v>97</v>
      </c>
      <c r="Z17" s="63" t="s">
        <v>82</v>
      </c>
      <c r="AA17" s="63" t="s">
        <v>89</v>
      </c>
      <c r="AB17" s="63" t="s">
        <v>83</v>
      </c>
      <c r="AC17" s="63" t="s">
        <v>7</v>
      </c>
      <c r="AD17" s="63" t="s">
        <v>28</v>
      </c>
      <c r="AE17" s="63" t="s">
        <v>7</v>
      </c>
      <c r="AF17" s="63" t="s">
        <v>200</v>
      </c>
      <c r="AG17" s="63" t="s">
        <v>84</v>
      </c>
      <c r="AH17" s="63" t="s">
        <v>271</v>
      </c>
      <c r="AI17" s="63" t="s">
        <v>7</v>
      </c>
      <c r="AJ17" s="63" t="s">
        <v>112</v>
      </c>
      <c r="AK17" s="63" t="s">
        <v>6</v>
      </c>
      <c r="AL17" s="63" t="s">
        <v>88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s="102" cm="1">
        <f t="array" ref="AQ17">ROUND(PQ2nits((20*$AO17)/(2055+31*65)),3)</f>
        <v>8.7999999999999995E-2</v>
      </c>
      <c r="AU17" s="6" t="s">
        <v>44</v>
      </c>
      <c r="AV17" s="22">
        <v>0.68</v>
      </c>
      <c r="AW17" s="22">
        <v>0.32</v>
      </c>
      <c r="AX17" s="22">
        <v>0.26500000000000001</v>
      </c>
      <c r="AY17" s="22">
        <v>0.69</v>
      </c>
      <c r="AZ17" s="22">
        <v>0.15</v>
      </c>
      <c r="BA17" s="22">
        <v>0.06</v>
      </c>
      <c r="BB17" t="s">
        <v>52</v>
      </c>
    </row>
    <row r="18" spans="2:54" x14ac:dyDescent="0.3">
      <c r="B18" s="52" t="s">
        <v>168</v>
      </c>
      <c r="C18" s="91" t="str">
        <f t="shared" si="2"/>
        <v>:10741000b0588a0055502100001e662150b05100</v>
      </c>
      <c r="D18" s="39"/>
      <c r="E18" s="39"/>
      <c r="F18" s="39"/>
      <c r="G18" s="39" t="str" cm="1">
        <f t="array" ref="G18">IntelHexChecksum(RIGHT(C18,40))</f>
        <v>1E</v>
      </c>
      <c r="H18" s="39"/>
      <c r="I18" s="39"/>
      <c r="J18" s="44"/>
      <c r="V18" s="63"/>
      <c r="W18" s="63" t="s">
        <v>89</v>
      </c>
      <c r="X18" s="63" t="s">
        <v>95</v>
      </c>
      <c r="Y18" s="63" t="s">
        <v>284</v>
      </c>
      <c r="Z18" s="63" t="s">
        <v>148</v>
      </c>
      <c r="AA18" s="63" t="s">
        <v>70</v>
      </c>
      <c r="AB18" s="63" t="s">
        <v>87</v>
      </c>
      <c r="AC18" s="63" t="s">
        <v>6</v>
      </c>
      <c r="AD18" s="63" t="s">
        <v>113</v>
      </c>
      <c r="AE18" s="63" t="s">
        <v>112</v>
      </c>
      <c r="AF18" s="63" t="s">
        <v>89</v>
      </c>
      <c r="AG18" s="63" t="s">
        <v>88</v>
      </c>
      <c r="AH18" s="63" t="s">
        <v>85</v>
      </c>
      <c r="AI18" s="63" t="s">
        <v>7</v>
      </c>
      <c r="AJ18" s="63" t="s">
        <v>133</v>
      </c>
      <c r="AK18" s="63" t="s">
        <v>80</v>
      </c>
      <c r="AL18" s="63" t="s">
        <v>96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s="102" cm="1">
        <f t="array" ref="AQ18">ROUND(PQ2nits((20*$AO18)/(2055+31*65)),3)</f>
        <v>0.106</v>
      </c>
    </row>
    <row r="19" spans="2:54" x14ac:dyDescent="0.3">
      <c r="B19" s="52" t="s">
        <v>169</v>
      </c>
      <c r="C19" s="91" t="str">
        <f t="shared" si="2"/>
        <v>:107420001b304070360040846300001e000000fd</v>
      </c>
      <c r="D19" s="39"/>
      <c r="E19" s="39"/>
      <c r="F19" s="39"/>
      <c r="G19" s="39" t="str" cm="1">
        <f t="array" ref="G19">IntelHexChecksum(RIGHT(C19,40))</f>
        <v>E9</v>
      </c>
      <c r="H19" s="39"/>
      <c r="I19" s="39"/>
      <c r="J19" s="44"/>
      <c r="V19" s="63"/>
      <c r="W19" s="97" t="s">
        <v>81</v>
      </c>
      <c r="X19" s="97" t="s">
        <v>7</v>
      </c>
      <c r="Y19" s="97" t="s">
        <v>80</v>
      </c>
      <c r="Z19" s="97" t="s">
        <v>114</v>
      </c>
      <c r="AA19" s="97" t="s">
        <v>7</v>
      </c>
      <c r="AB19" s="97" t="s">
        <v>7</v>
      </c>
      <c r="AC19" s="97" t="s">
        <v>85</v>
      </c>
      <c r="AD19" s="97" t="s">
        <v>74</v>
      </c>
      <c r="AE19" s="97" t="s">
        <v>157</v>
      </c>
      <c r="AF19" s="96" t="s">
        <v>205</v>
      </c>
      <c r="AG19" s="96" t="s">
        <v>6</v>
      </c>
      <c r="AH19" s="96" t="s">
        <v>180</v>
      </c>
      <c r="AI19" s="96" t="s">
        <v>118</v>
      </c>
      <c r="AJ19" s="96" t="s">
        <v>7</v>
      </c>
      <c r="AK19" s="98" t="str">
        <f>C5</f>
        <v>47</v>
      </c>
      <c r="AL19" s="98" t="str">
        <f>G5</f>
        <v>07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s="102" cm="1">
        <f t="array" ref="AQ19">ROUND(PQ2nits((20*$AO19)/(2055+31*65)),3)</f>
        <v>0.127</v>
      </c>
    </row>
    <row r="20" spans="2:54" x14ac:dyDescent="0.3">
      <c r="B20" s="52" t="s">
        <v>170</v>
      </c>
      <c r="C20" s="91" t="str">
        <f t="shared" si="2"/>
        <v>:107430000018781e873c000a2020202020200000</v>
      </c>
      <c r="D20" s="39"/>
      <c r="E20" s="39"/>
      <c r="F20" s="39"/>
      <c r="G20" s="39" t="str" cm="1">
        <f t="array" ref="G20">IntelHexChecksum(RIGHT(C20,40))</f>
        <v>11</v>
      </c>
      <c r="H20" s="39"/>
      <c r="I20" s="39"/>
      <c r="J20" s="44"/>
      <c r="V20" s="63"/>
      <c r="W20" s="98" t="str">
        <f>J5</f>
        <v>F8</v>
      </c>
      <c r="X20" s="98" t="str">
        <f>M5</f>
        <v>57</v>
      </c>
      <c r="Y20" s="98" t="str">
        <f>O5</f>
        <v>98</v>
      </c>
      <c r="Z20" s="98" t="str">
        <f>Q5</f>
        <v>A9</v>
      </c>
      <c r="AA20" s="98" t="str">
        <f>S5</f>
        <v>53</v>
      </c>
      <c r="AB20" s="97" t="s">
        <v>251</v>
      </c>
      <c r="AC20" s="97" t="s">
        <v>197</v>
      </c>
      <c r="AD20" s="97" t="s">
        <v>7</v>
      </c>
      <c r="AE20" s="97" t="s">
        <v>311</v>
      </c>
      <c r="AF20" s="97" t="s">
        <v>311</v>
      </c>
      <c r="AG20" s="97" t="s">
        <v>311</v>
      </c>
      <c r="AH20" s="97" t="s">
        <v>264</v>
      </c>
      <c r="AI20" s="97" t="s">
        <v>106</v>
      </c>
      <c r="AJ20" s="97" t="s">
        <v>145</v>
      </c>
      <c r="AK20" s="97" t="s">
        <v>102</v>
      </c>
      <c r="AL20" s="97" t="s">
        <v>319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s="102" cm="1">
        <f t="array" ref="AQ20">ROUND(PQ2nits((20*$AO20)/(2055+31*65)),3)</f>
        <v>0.15</v>
      </c>
    </row>
    <row r="21" spans="2:54" x14ac:dyDescent="0.3">
      <c r="B21" s="52" t="s">
        <v>171</v>
      </c>
      <c r="C21" s="91" t="str">
        <f t="shared" si="2"/>
        <v>:1074400000fc004c472050524f4a4543544f520a</v>
      </c>
      <c r="D21" s="39"/>
      <c r="E21" s="39"/>
      <c r="F21" s="39"/>
      <c r="G21" s="39" t="str" cm="1">
        <f t="array" ref="G21">IntelHexChecksum(RIGHT(C21,40))</f>
        <v>CB</v>
      </c>
      <c r="H21" s="39"/>
      <c r="I21" s="39"/>
      <c r="J21" s="44"/>
      <c r="V21" s="63"/>
      <c r="W21" s="63" t="s">
        <v>7</v>
      </c>
      <c r="X21" s="63" t="s">
        <v>104</v>
      </c>
      <c r="Y21" s="63" t="s">
        <v>193</v>
      </c>
      <c r="Z21" s="63" t="s">
        <v>194</v>
      </c>
      <c r="AA21" s="63" t="s">
        <v>7</v>
      </c>
      <c r="AB21" s="63" t="s">
        <v>7</v>
      </c>
      <c r="AC21" s="63" t="s">
        <v>77</v>
      </c>
      <c r="AD21" s="63" t="s">
        <v>7</v>
      </c>
      <c r="AE21" s="63" t="s">
        <v>7</v>
      </c>
      <c r="AF21" s="63" t="s">
        <v>7</v>
      </c>
      <c r="AG21" s="63" t="s">
        <v>7</v>
      </c>
      <c r="AH21" s="63" t="s">
        <v>7</v>
      </c>
      <c r="AI21" s="63" t="s">
        <v>7</v>
      </c>
      <c r="AJ21" s="63" t="s">
        <v>7</v>
      </c>
      <c r="AK21" s="63" t="s">
        <v>7</v>
      </c>
      <c r="AL21" s="63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s="102" cm="1">
        <f t="array" ref="AQ21">ROUND(PQ2nits((20*$AO21)/(2055+31*65)),3)</f>
        <v>0.17599999999999999</v>
      </c>
    </row>
    <row r="22" spans="2:54" x14ac:dyDescent="0.3">
      <c r="B22" s="52" t="s">
        <v>162</v>
      </c>
      <c r="C22" s="91" t="str">
        <f t="shared" si="2"/>
        <v>:10745000014a020355f15a5f5f101f6464041304</v>
      </c>
      <c r="D22" s="39"/>
      <c r="E22" s="39"/>
      <c r="F22" s="39"/>
      <c r="G22" s="39" t="str" cm="1">
        <f t="array" ref="G22">IntelHexChecksum(RIGHT(C22,40))</f>
        <v>6C</v>
      </c>
      <c r="H22" s="39"/>
      <c r="I22" s="39"/>
      <c r="J22" s="44"/>
      <c r="V22" s="63"/>
      <c r="W22" s="63" t="s">
        <v>7</v>
      </c>
      <c r="X22" s="63" t="s">
        <v>7</v>
      </c>
      <c r="Y22" s="63" t="s">
        <v>7</v>
      </c>
      <c r="Z22" s="63" t="s">
        <v>7</v>
      </c>
      <c r="AA22" s="63" t="s">
        <v>7</v>
      </c>
      <c r="AB22" s="63" t="s">
        <v>7</v>
      </c>
      <c r="AC22" s="63" t="s">
        <v>7</v>
      </c>
      <c r="AD22" s="63" t="s">
        <v>7</v>
      </c>
      <c r="AE22" s="63" t="s">
        <v>7</v>
      </c>
      <c r="AF22" s="63" t="s">
        <v>7</v>
      </c>
      <c r="AG22" s="63" t="s">
        <v>7</v>
      </c>
      <c r="AH22" s="63" t="s">
        <v>7</v>
      </c>
      <c r="AI22" s="63" t="s">
        <v>7</v>
      </c>
      <c r="AJ22" s="63" t="s">
        <v>7</v>
      </c>
      <c r="AK22" s="63" t="s">
        <v>7</v>
      </c>
      <c r="AL22" s="96" t="s">
        <v>204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s="102" cm="1">
        <f t="array" ref="AQ22">ROUND(PQ2nits((20*$AO22)/(2055+31*65)),3)</f>
        <v>0.20399999999999999</v>
      </c>
    </row>
    <row r="23" spans="2:54" x14ac:dyDescent="0.3">
      <c r="B23" s="52" t="s">
        <v>172</v>
      </c>
      <c r="C23" s="91" t="str">
        <f t="shared" si="2"/>
        <v>:107460000403021220212204015d5e5f6263643f</v>
      </c>
      <c r="D23" s="39"/>
      <c r="E23" s="39"/>
      <c r="F23" s="39"/>
      <c r="G23" s="39" t="str" cm="1">
        <f t="array" ref="G23">IntelHexChecksum(RIGHT(C23,40))</f>
        <v>17</v>
      </c>
      <c r="H23" s="39"/>
      <c r="I23" s="39"/>
      <c r="J23" s="44"/>
      <c r="V23" s="63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s="102" cm="1">
        <f t="array" ref="AQ23">ROUND(PQ2nits((20*$AO23)/(2055+31*65)),3)</f>
        <v>0.23599999999999999</v>
      </c>
    </row>
    <row r="24" spans="2:54" x14ac:dyDescent="0.3">
      <c r="B24" s="52" t="s">
        <v>173</v>
      </c>
      <c r="C24" s="91" t="str">
        <f t="shared" si="2"/>
        <v>:1074700040230957076e030c001000b83c240080</v>
      </c>
      <c r="D24" s="39"/>
      <c r="E24" s="39"/>
      <c r="F24" s="39"/>
      <c r="G24" s="39" t="str" cm="1">
        <f t="array" ref="G24">IntelHexChecksum(RIGHT(C24,40))</f>
        <v>1D</v>
      </c>
      <c r="H24" s="39"/>
      <c r="I24" s="39"/>
      <c r="J24" s="44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s="102" cm="1">
        <f t="array" ref="AQ24">ROUND(PQ2nits((20*$AO24)/(2055+31*65)),3)</f>
        <v>0.27100000000000002</v>
      </c>
    </row>
    <row r="25" spans="2:54" x14ac:dyDescent="0.3">
      <c r="B25" s="52" t="s">
        <v>174</v>
      </c>
      <c r="C25" s="91" t="str">
        <f t="shared" si="2"/>
        <v>:107480000102030468585dc40178800302e200cf</v>
      </c>
      <c r="D25" s="39"/>
      <c r="E25" s="39"/>
      <c r="F25" s="39"/>
      <c r="G25" s="39" t="str" cm="1">
        <f t="array" ref="G25">IntelHexChecksum(RIGHT(C25,40))</f>
        <v>62</v>
      </c>
      <c r="H25" s="39"/>
      <c r="I25" s="39"/>
      <c r="J25" s="44"/>
      <c r="W25" s="97" t="s">
        <v>81</v>
      </c>
      <c r="X25" s="97" t="s">
        <v>7</v>
      </c>
      <c r="Y25" s="97" t="s">
        <v>80</v>
      </c>
      <c r="Z25" s="97" t="s">
        <v>114</v>
      </c>
      <c r="AA25" s="97" t="s">
        <v>7</v>
      </c>
      <c r="AB25" s="97" t="s">
        <v>7</v>
      </c>
      <c r="AC25" s="97" t="s">
        <v>85</v>
      </c>
      <c r="AD25" s="97" t="s">
        <v>74</v>
      </c>
      <c r="AE25" s="96" t="s">
        <v>157</v>
      </c>
      <c r="AF25" s="97" t="s">
        <v>251</v>
      </c>
      <c r="AG25" s="97" t="s">
        <v>197</v>
      </c>
      <c r="AH25" s="97" t="s">
        <v>7</v>
      </c>
      <c r="AI25" s="97" t="s">
        <v>311</v>
      </c>
      <c r="AJ25" s="97" t="s">
        <v>311</v>
      </c>
      <c r="AK25" s="97" t="s">
        <v>311</v>
      </c>
      <c r="AL25" s="97" t="s">
        <v>264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s="102" cm="1">
        <f t="array" ref="AQ25">ROUND(PQ2nits((20*$AO25)/(2055+31*65)),3)</f>
        <v>0.31</v>
      </c>
    </row>
    <row r="26" spans="2:54" x14ac:dyDescent="0.3">
      <c r="B26" s="52" t="s">
        <v>175</v>
      </c>
      <c r="C26" s="91" t="str">
        <f t="shared" si="2"/>
        <v>:10749000e305c000e3060000e20f33eb0146d000</v>
      </c>
      <c r="D26" s="39"/>
      <c r="E26" s="39"/>
      <c r="F26" s="39"/>
      <c r="G26" s="39" t="str" cm="1">
        <f t="array" ref="G26">IntelHexChecksum(RIGHT(C26,40))</f>
        <v>35</v>
      </c>
      <c r="H26" s="39"/>
      <c r="I26" s="39"/>
      <c r="J26" s="44"/>
      <c r="W26" s="97" t="s">
        <v>106</v>
      </c>
      <c r="X26" s="97" t="s">
        <v>145</v>
      </c>
      <c r="Y26" s="97" t="s">
        <v>102</v>
      </c>
      <c r="Z26" s="97" t="s">
        <v>319</v>
      </c>
      <c r="AA26" s="97" t="s">
        <v>7</v>
      </c>
      <c r="AB26" s="97" t="s">
        <v>104</v>
      </c>
      <c r="AC26" s="97" t="s">
        <v>193</v>
      </c>
      <c r="AD26" s="97" t="s">
        <v>194</v>
      </c>
      <c r="AE26" s="97" t="s">
        <v>7</v>
      </c>
      <c r="AF26" s="97" t="s">
        <v>7</v>
      </c>
      <c r="AG26" s="97" t="s">
        <v>77</v>
      </c>
      <c r="AH26" s="97" t="s">
        <v>7</v>
      </c>
      <c r="AI26" s="97" t="s">
        <v>7</v>
      </c>
      <c r="AJ26" s="97" t="s">
        <v>7</v>
      </c>
      <c r="AK26" s="97" t="s">
        <v>7</v>
      </c>
      <c r="AL26" s="97" t="s">
        <v>7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s="102" cm="1">
        <f t="array" ref="AQ26">ROUND(PQ2nits((20*$AO26)/(2055+31*65)),3)</f>
        <v>0.35299999999999998</v>
      </c>
    </row>
    <row r="27" spans="2:54" x14ac:dyDescent="0.3">
      <c r="B27" s="52" t="s">
        <v>5</v>
      </c>
      <c r="C27" s="91" t="str">
        <f>_xlfn.CONCAT(":10",RIGHT(B27,4),"00",AK19:AL19,W20:AJ20)</f>
        <v>:1074A0004707F85798A953565e00a0a0a0295030</v>
      </c>
      <c r="D27" s="39"/>
      <c r="E27" s="39"/>
      <c r="F27" s="39"/>
      <c r="G27" s="39" t="str" cm="1">
        <f t="array" ref="G27">IntelHexChecksum(RIGHT(C27,40))</f>
        <v>6E</v>
      </c>
      <c r="H27" s="39"/>
      <c r="I27" s="39"/>
      <c r="J27" s="44"/>
      <c r="W27" s="63" t="s">
        <v>7</v>
      </c>
      <c r="X27" s="63" t="s">
        <v>7</v>
      </c>
      <c r="Y27" s="63" t="s">
        <v>7</v>
      </c>
      <c r="Z27" s="63" t="s">
        <v>7</v>
      </c>
      <c r="AA27" s="63" t="s">
        <v>7</v>
      </c>
      <c r="AB27" s="63" t="s">
        <v>7</v>
      </c>
      <c r="AC27" s="63" t="s">
        <v>7</v>
      </c>
      <c r="AD27" s="63" t="s">
        <v>7</v>
      </c>
      <c r="AE27" s="63" t="s">
        <v>7</v>
      </c>
      <c r="AF27" s="63" t="s">
        <v>7</v>
      </c>
      <c r="AG27" s="63" t="s">
        <v>7</v>
      </c>
      <c r="AH27" s="63" t="s">
        <v>7</v>
      </c>
      <c r="AI27" s="63" t="s">
        <v>7</v>
      </c>
      <c r="AJ27" s="63" t="s">
        <v>7</v>
      </c>
      <c r="AK27" s="63" t="s">
        <v>7</v>
      </c>
      <c r="AL27" s="63" t="s">
        <v>7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s="102" cm="1">
        <f t="array" ref="AQ27">ROUND(PQ2nits((20*$AO27)/(2055+31*65)),3)</f>
        <v>0.39900000000000002</v>
      </c>
    </row>
    <row r="28" spans="2:54" x14ac:dyDescent="0.3">
      <c r="B28" s="52" t="s">
        <v>176</v>
      </c>
      <c r="C28" s="91" t="str">
        <f>_xlfn.CONCAT(":10",RIGHT(B28,4),"00",AK20:AL20,W21:AJ21)</f>
        <v>:1074B00020350040846300001e00000000000000</v>
      </c>
      <c r="D28" s="39"/>
      <c r="E28" s="39"/>
      <c r="F28" s="39"/>
      <c r="G28" s="39" t="str" cm="1">
        <f t="array" ref="G28">IntelHexChecksum(RIGHT(C28,40))</f>
        <v>32</v>
      </c>
      <c r="H28" s="39"/>
      <c r="I28" s="39"/>
      <c r="J28" s="44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s="102" cm="1">
        <f t="array" ref="AQ28">ROUND(PQ2nits((20*$AO28)/(2055+31*65)),3)</f>
        <v>0.45</v>
      </c>
    </row>
    <row r="29" spans="2:54" x14ac:dyDescent="0.3">
      <c r="B29" s="52" t="s">
        <v>177</v>
      </c>
      <c r="C29" s="91" t="str">
        <f t="shared" si="2"/>
        <v>:1074C00000000000000000000000000000000000</v>
      </c>
      <c r="D29" s="39"/>
      <c r="E29" s="39"/>
      <c r="F29" s="39"/>
      <c r="G29" s="39" t="str" cm="1">
        <f t="array" ref="G29">IntelHexChecksum(RIGHT(C29,40))</f>
        <v>BC</v>
      </c>
      <c r="H29" s="39"/>
      <c r="I29" s="39"/>
      <c r="J29" s="44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s="102" cm="1">
        <f t="array" ref="AQ29">ROUND(PQ2nits((20*$AO29)/(2055+31*65)),3)</f>
        <v>0.50600000000000001</v>
      </c>
    </row>
    <row r="30" spans="2:54" ht="15" thickBot="1" x14ac:dyDescent="0.35">
      <c r="B30" s="94" t="s">
        <v>178</v>
      </c>
      <c r="C30" s="95" t="str">
        <f>_xlfn.CONCAT(":10",RIGHT(B30,4),"00",AK22:AL22,"00FFFFFFFFFFFF00371801000100")</f>
        <v>:1074D00000e500FFFFFFFFFFFF00371801000100</v>
      </c>
      <c r="D30" s="47"/>
      <c r="E30" s="47"/>
      <c r="F30" s="47"/>
      <c r="G30" s="47" t="str" cm="1">
        <f t="array" ref="G30">IntelHexChecksum(RIGHT(C30,40))</f>
        <v>7C</v>
      </c>
      <c r="H30" s="47"/>
      <c r="I30" s="47"/>
      <c r="J30" s="48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s="102" cm="1">
        <f t="array" ref="AQ30">ROUND(PQ2nits((20*$AO30)/(2055+31*65)),3)</f>
        <v>0.56599999999999995</v>
      </c>
    </row>
    <row r="31" spans="2:54" x14ac:dyDescent="0.3">
      <c r="B31" s="92"/>
      <c r="C31" s="93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s="102" cm="1">
        <f t="array" ref="AQ31">ROUND(PQ2nits((20*$AO31)/(2055+31*65)),3)</f>
        <v>0.63100000000000001</v>
      </c>
    </row>
    <row r="32" spans="2:54" x14ac:dyDescent="0.3">
      <c r="B32" s="92"/>
      <c r="C32" s="93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s="102" cm="1">
        <f t="array" ref="AQ32">ROUND(PQ2nits((20*$AO32)/(2055+31*65)),3)</f>
        <v>0.70199999999999996</v>
      </c>
    </row>
    <row r="33" spans="2:55" x14ac:dyDescent="0.3">
      <c r="B33" s="92"/>
      <c r="C33" s="93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s="102" cm="1">
        <f t="array" ref="AQ33">ROUND(PQ2nits((20*$AO33)/(2055+31*65)),3)</f>
        <v>0.77900000000000003</v>
      </c>
    </row>
    <row r="34" spans="2:55" x14ac:dyDescent="0.3">
      <c r="B34" s="92"/>
      <c r="C34" s="93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s="102" cm="1">
        <f t="array" ref="AQ34">ROUND(PQ2nits((20*$AO34)/(2055+31*65)),3)</f>
        <v>0.86199999999999999</v>
      </c>
    </row>
    <row r="35" spans="2:55" x14ac:dyDescent="0.3">
      <c r="B35" s="92"/>
      <c r="C35" s="93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s="102" cm="1">
        <f t="array" ref="AQ35">ROUND(PQ2nits((20*$AO35)/(2055+31*65)),3)</f>
        <v>0.95099999999999996</v>
      </c>
    </row>
    <row r="36" spans="2:55" x14ac:dyDescent="0.3">
      <c r="B36" s="92"/>
      <c r="C36" s="93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s="102" cm="1">
        <f t="array" ref="AQ36">ROUND(PQ2nits((20*$AO36)/(2055+31*65)),3)</f>
        <v>1.048</v>
      </c>
    </row>
    <row r="37" spans="2:55" x14ac:dyDescent="0.3">
      <c r="B37" s="92"/>
      <c r="C37" s="93"/>
    </row>
    <row r="38" spans="2:55" x14ac:dyDescent="0.3">
      <c r="B38" s="92"/>
      <c r="C38" s="93"/>
    </row>
    <row r="39" spans="2:55" x14ac:dyDescent="0.3">
      <c r="B39" s="92"/>
      <c r="C39" s="93"/>
    </row>
    <row r="40" spans="2:55" x14ac:dyDescent="0.3"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</row>
    <row r="41" spans="2:55" x14ac:dyDescent="0.3"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</row>
    <row r="42" spans="2:55" x14ac:dyDescent="0.3"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</row>
    <row r="43" spans="2:55" x14ac:dyDescent="0.3"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</row>
    <row r="44" spans="2:55" x14ac:dyDescent="0.3"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</row>
    <row r="45" spans="2:55" x14ac:dyDescent="0.3"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</row>
    <row r="46" spans="2:55" x14ac:dyDescent="0.3"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</row>
    <row r="47" spans="2:55" x14ac:dyDescent="0.3"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</row>
    <row r="48" spans="2:55" x14ac:dyDescent="0.3"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</row>
    <row r="49" spans="23:39" x14ac:dyDescent="0.3"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</row>
    <row r="50" spans="23:39" x14ac:dyDescent="0.3"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</row>
    <row r="51" spans="23:39" x14ac:dyDescent="0.3"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</row>
    <row r="52" spans="23:39" x14ac:dyDescent="0.3"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</row>
    <row r="53" spans="23:39" x14ac:dyDescent="0.3"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</row>
    <row r="54" spans="23:39" x14ac:dyDescent="0.3"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7" priority="4">
      <formula>$E$7="Not Supported"</formula>
    </cfRule>
  </conditionalFormatting>
  <conditionalFormatting sqref="N7">
    <cfRule type="expression" dxfId="6" priority="3">
      <formula>$P$7="Supported"</formula>
    </cfRule>
  </conditionalFormatting>
  <conditionalFormatting sqref="P7">
    <cfRule type="expression" dxfId="5" priority="2">
      <formula>$N$7="Supported"</formula>
    </cfRule>
  </conditionalFormatting>
  <conditionalFormatting sqref="N7 P7">
    <cfRule type="expression" dxfId="4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85F967CE-A16D-4F6B-9D09-755D92B2229D}">
      <formula1>$AN$5:$AN$36</formula1>
    </dataValidation>
    <dataValidation type="list" allowBlank="1" showInputMessage="1" showErrorMessage="1" sqref="I7" xr:uid="{59E6C825-3186-4502-9B59-AEA19385135F}">
      <formula1>$AR$5:$AR$9</formula1>
    </dataValidation>
    <dataValidation type="list" allowBlank="1" showInputMessage="1" showErrorMessage="1" sqref="I3" xr:uid="{83D76FCD-C272-4439-900E-26566FADA01D}">
      <formula1>$AU$15:$AU$17</formula1>
    </dataValidation>
    <dataValidation type="list" allowBlank="1" showInputMessage="1" showErrorMessage="1" sqref="L7" xr:uid="{CC8E9120-4115-4576-A3C1-DD7EE4AF773F}">
      <formula1>$AU$5:$AU$8</formula1>
    </dataValidation>
    <dataValidation type="list" allowBlank="1" showInputMessage="1" showErrorMessage="1" sqref="E7:F7 H7 N7 P7" xr:uid="{B6BBA6AF-C0F4-4FED-B50F-EBC0C7CA0D2A}">
      <formula1>"Supported, Not Supported"</formula1>
    </dataValidation>
    <dataValidation type="list" allowBlank="1" showInputMessage="1" showErrorMessage="1" sqref="G7" xr:uid="{EE03C5AE-0050-497F-8AEB-C75EDD9E6F0D}">
      <formula1>$AQ$5:$AQ$36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586740</xdr:colOff>
                    <xdr:row>10</xdr:row>
                    <xdr:rowOff>106680</xdr:rowOff>
                  </from>
                  <to>
                    <xdr:col>13</xdr:col>
                    <xdr:colOff>350520</xdr:colOff>
                    <xdr:row>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792480</xdr:colOff>
                    <xdr:row>8</xdr:row>
                    <xdr:rowOff>182880</xdr:rowOff>
                  </from>
                  <to>
                    <xdr:col>1</xdr:col>
                    <xdr:colOff>1028700</xdr:colOff>
                    <xdr:row>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792480</xdr:colOff>
                    <xdr:row>9</xdr:row>
                    <xdr:rowOff>175260</xdr:rowOff>
                  </from>
                  <to>
                    <xdr:col>1</xdr:col>
                    <xdr:colOff>1028700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57D9E-4F9E-4136-A76A-1A126E04DDE9}">
  <sheetPr codeName="Sheet13"/>
  <dimension ref="B2:BC54"/>
  <sheetViews>
    <sheetView tabSelected="1" zoomScale="90" zoomScaleNormal="90" workbookViewId="0">
      <selection activeCell="O22" sqref="O22"/>
    </sheetView>
  </sheetViews>
  <sheetFormatPr defaultRowHeight="14.4" x14ac:dyDescent="0.3"/>
  <cols>
    <col min="2" max="2" width="14.109375" customWidth="1"/>
    <col min="3" max="3" width="7.44140625" customWidth="1"/>
    <col min="4" max="4" width="11" customWidth="1"/>
    <col min="5" max="5" width="12.77734375" customWidth="1"/>
    <col min="6" max="6" width="15.33203125" customWidth="1"/>
    <col min="7" max="7" width="8.88671875" customWidth="1"/>
    <col min="8" max="8" width="10.6640625" customWidth="1"/>
    <col min="9" max="9" width="10" customWidth="1"/>
    <col min="10" max="10" width="12.6640625" customWidth="1"/>
    <col min="11" max="11" width="9.21875" customWidth="1"/>
    <col min="12" max="12" width="16.21875" customWidth="1"/>
    <col min="13" max="13" width="10" customWidth="1"/>
    <col min="14" max="14" width="13.21875" customWidth="1"/>
    <col min="15" max="15" width="8.44140625" customWidth="1"/>
    <col min="16" max="16" width="12.88671875" customWidth="1"/>
    <col min="17" max="20" width="7.44140625" customWidth="1"/>
    <col min="21" max="21" width="12.5546875" customWidth="1"/>
    <col min="22" max="22" width="7.44140625" customWidth="1"/>
    <col min="23" max="38" width="4.33203125" customWidth="1"/>
    <col min="47" max="47" width="24.5546875" customWidth="1"/>
  </cols>
  <sheetData>
    <row r="2" spans="2:54" ht="15" thickBot="1" x14ac:dyDescent="0.35"/>
    <row r="3" spans="2:54" ht="15" thickBot="1" x14ac:dyDescent="0.35">
      <c r="H3" s="35" t="s">
        <v>31</v>
      </c>
      <c r="I3" s="37" t="s">
        <v>43</v>
      </c>
      <c r="W3" s="65" t="s">
        <v>163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61" t="s">
        <v>66</v>
      </c>
      <c r="C5" s="106" t="str">
        <f>DEC2HEX(_xlfn.BITLSHIFT(BIN2DEC(C8),5)+_xlfn.BITLSHIFT(BIN2DEC(D8),2)+_xlfn.BITLSHIFT(BIN2DEC(E8),1)+BIN2DEC(F8))</f>
        <v>48</v>
      </c>
      <c r="D5" s="106"/>
      <c r="E5" s="106"/>
      <c r="F5" s="107"/>
      <c r="G5" s="108" t="str">
        <f>DEC2HEX(_xlfn.BITLSHIFT(BIN2DEC(G8),3)+_xlfn.BITLSHIFT(BIN2DEC(H8),2)+BIN2DEC(I8),2)</f>
        <v>53</v>
      </c>
      <c r="H5" s="104"/>
      <c r="I5" s="105"/>
      <c r="J5" s="108" t="str">
        <f>DEC2HEX(_xlfn.BITLSHIFT(BIN2DEC(J8),3)+_xlfn.BITLSHIFT(BIN2DEC(K8),1)+BIN2DEC(L8),2)</f>
        <v>10</v>
      </c>
      <c r="K5" s="104"/>
      <c r="L5" s="105"/>
      <c r="M5" s="104" t="str">
        <f>BIN2HEX(_xlfn.CONCAT(M8,N8),2)</f>
        <v>56</v>
      </c>
      <c r="N5" s="105"/>
      <c r="O5" s="104" t="str">
        <f>BIN2HEX(_xlfn.CONCAT(O8,P8),2)</f>
        <v>98</v>
      </c>
      <c r="P5" s="105"/>
      <c r="Q5" s="104" t="str">
        <f>BIN2HEX(_xlfn.CONCAT(Q8,R8),2)</f>
        <v>A9</v>
      </c>
      <c r="R5" s="105"/>
      <c r="S5" s="104" t="str">
        <f>BIN2HEX(_xlfn.CONCAT(S8,T8),2)</f>
        <v>53</v>
      </c>
      <c r="T5" s="105"/>
      <c r="W5" s="84">
        <v>0</v>
      </c>
      <c r="X5" s="85">
        <v>1</v>
      </c>
      <c r="Y5" s="85">
        <v>2</v>
      </c>
      <c r="Z5" s="85">
        <v>3</v>
      </c>
      <c r="AA5" s="85">
        <v>4</v>
      </c>
      <c r="AB5" s="85">
        <v>5</v>
      </c>
      <c r="AC5" s="85">
        <v>6</v>
      </c>
      <c r="AD5" s="85">
        <v>7</v>
      </c>
      <c r="AE5" s="85">
        <v>8</v>
      </c>
      <c r="AF5" s="85">
        <v>9</v>
      </c>
      <c r="AG5" s="85">
        <v>10</v>
      </c>
      <c r="AH5" s="85">
        <v>11</v>
      </c>
      <c r="AI5" s="85">
        <v>12</v>
      </c>
      <c r="AJ5" s="85">
        <v>13</v>
      </c>
      <c r="AK5" s="85">
        <v>14</v>
      </c>
      <c r="AL5" s="86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s="102" cm="1">
        <f t="array" ref="AQ5">ROUND(PQ2nits((20*$AO5)/(2055+31*65)),3)</f>
        <v>0</v>
      </c>
      <c r="AR5" s="12" t="s">
        <v>22</v>
      </c>
      <c r="AS5" s="11" t="s">
        <v>7</v>
      </c>
      <c r="AU5" s="13" t="s">
        <v>35</v>
      </c>
      <c r="AV5" s="6" t="s">
        <v>7</v>
      </c>
    </row>
    <row r="6" spans="2:54" ht="30.75" customHeight="1" x14ac:dyDescent="0.3">
      <c r="B6" s="60" t="s">
        <v>67</v>
      </c>
      <c r="C6" s="56" t="s">
        <v>10</v>
      </c>
      <c r="D6" s="30" t="s">
        <v>12</v>
      </c>
      <c r="E6" s="31" t="s">
        <v>17</v>
      </c>
      <c r="F6" s="32" t="s">
        <v>8</v>
      </c>
      <c r="G6" s="33" t="s">
        <v>60</v>
      </c>
      <c r="H6" s="31" t="s">
        <v>40</v>
      </c>
      <c r="I6" s="34" t="s">
        <v>59</v>
      </c>
      <c r="J6" s="33" t="s">
        <v>61</v>
      </c>
      <c r="K6" s="30" t="s">
        <v>11</v>
      </c>
      <c r="L6" s="32" t="s">
        <v>37</v>
      </c>
      <c r="M6" s="30" t="s">
        <v>58</v>
      </c>
      <c r="N6" s="32" t="s">
        <v>24</v>
      </c>
      <c r="O6" s="30" t="s">
        <v>57</v>
      </c>
      <c r="P6" s="32" t="s">
        <v>23</v>
      </c>
      <c r="Q6" s="30" t="s">
        <v>56</v>
      </c>
      <c r="R6" s="32" t="s">
        <v>14</v>
      </c>
      <c r="S6" s="30" t="s">
        <v>55</v>
      </c>
      <c r="T6" s="32" t="s">
        <v>13</v>
      </c>
      <c r="V6" s="65" t="s">
        <v>68</v>
      </c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s="102" cm="1">
        <f t="array" ref="AQ6">ROUND(PQ2nits((20*$AO6)/(2055+31*65)),3)</f>
        <v>1E-3</v>
      </c>
      <c r="AR6" s="12" t="s">
        <v>21</v>
      </c>
      <c r="AS6" s="11" t="s">
        <v>6</v>
      </c>
      <c r="AU6" s="13" t="s">
        <v>36</v>
      </c>
      <c r="AV6" s="6" t="s">
        <v>6</v>
      </c>
    </row>
    <row r="7" spans="2:54" x14ac:dyDescent="0.3">
      <c r="B7" s="59"/>
      <c r="C7" s="57">
        <v>2</v>
      </c>
      <c r="D7" s="10" t="s">
        <v>20</v>
      </c>
      <c r="E7" s="14" t="s">
        <v>19</v>
      </c>
      <c r="F7" s="14" t="s">
        <v>19</v>
      </c>
      <c r="G7" s="103">
        <v>5.8000000000000003E-2</v>
      </c>
      <c r="H7" s="14" t="s">
        <v>19</v>
      </c>
      <c r="I7" s="15" t="s">
        <v>27</v>
      </c>
      <c r="J7" s="26">
        <v>132</v>
      </c>
      <c r="K7" s="27">
        <v>0</v>
      </c>
      <c r="L7" s="16" t="s">
        <v>35</v>
      </c>
      <c r="M7" s="23">
        <f>INDEX(AX15:AX17,MATCH(I3,AU15:AU17,0))</f>
        <v>0.17</v>
      </c>
      <c r="N7" s="36" t="s">
        <v>19</v>
      </c>
      <c r="O7" s="24">
        <f>INDEX(AY15:AY17,MATCH($I$3,$AU$15:$AU$17,0))</f>
        <v>0.79700000000000004</v>
      </c>
      <c r="P7" s="36" t="s">
        <v>19</v>
      </c>
      <c r="Q7" s="24">
        <f>INDEX(AV15:AV17,MATCH($I$3,$AU$15:$AU$17,0))</f>
        <v>0.70799999999999996</v>
      </c>
      <c r="R7" s="25">
        <f>INDEX(AZ15:AZ17,MATCH($I$3,$AU$15:$AU$17,0))</f>
        <v>0.13100000000000001</v>
      </c>
      <c r="S7" s="23">
        <f>INDEX(AW15:AW17,MATCH($I$3,$AU$15:$AU$17,0))</f>
        <v>0.29199999999999998</v>
      </c>
      <c r="T7" s="25">
        <f>INDEX(BA15:BA17,MATCH($I$3,$AU$15:$AU$17,0))</f>
        <v>4.5999999999999999E-2</v>
      </c>
      <c r="V7" s="63"/>
      <c r="W7" s="63" t="s">
        <v>7</v>
      </c>
      <c r="X7" s="63" t="s">
        <v>127</v>
      </c>
      <c r="Y7" s="63" t="s">
        <v>127</v>
      </c>
      <c r="Z7" s="63" t="s">
        <v>127</v>
      </c>
      <c r="AA7" s="63" t="s">
        <v>127</v>
      </c>
      <c r="AB7" s="63" t="s">
        <v>127</v>
      </c>
      <c r="AC7" s="63" t="s">
        <v>127</v>
      </c>
      <c r="AD7" s="63" t="s">
        <v>7</v>
      </c>
      <c r="AE7" s="63" t="s">
        <v>135</v>
      </c>
      <c r="AF7" s="63" t="s">
        <v>129</v>
      </c>
      <c r="AG7" s="63" t="s">
        <v>98</v>
      </c>
      <c r="AH7" s="63" t="s">
        <v>182</v>
      </c>
      <c r="AI7" s="63" t="s">
        <v>6</v>
      </c>
      <c r="AJ7" s="63" t="s">
        <v>6</v>
      </c>
      <c r="AK7" s="63" t="s">
        <v>6</v>
      </c>
      <c r="AL7" s="63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s="102" cm="1">
        <f t="array" ref="AQ7">ROUND(PQ2nits((20*$AO7)/(2055+31*65)),3)</f>
        <v>2E-3</v>
      </c>
      <c r="AR7" s="12" t="s">
        <v>26</v>
      </c>
      <c r="AS7" s="11" t="s">
        <v>28</v>
      </c>
      <c r="AU7" s="13" t="s">
        <v>38</v>
      </c>
      <c r="AV7" s="6" t="s">
        <v>28</v>
      </c>
    </row>
    <row r="8" spans="2:54" s="7" customFormat="1" ht="15" thickBot="1" x14ac:dyDescent="0.35">
      <c r="B8" s="62"/>
      <c r="C8" s="58" t="s">
        <v>15</v>
      </c>
      <c r="D8" s="17" t="s">
        <v>15</v>
      </c>
      <c r="E8" s="18">
        <f>IF(EXACT(E7,"Supported"),1,0)</f>
        <v>0</v>
      </c>
      <c r="F8" s="18">
        <f>IF(EXACT(F7,"Supported"),1,0)</f>
        <v>0</v>
      </c>
      <c r="G8" s="20" t="str">
        <f>DEC2BIN(_xlfn.XLOOKUP(G7,AQ5:AQ36,AO5:AO36),5)</f>
        <v>01010</v>
      </c>
      <c r="H8" s="18">
        <f>IF(EXACT(H7,"Supported"),1,0)</f>
        <v>0</v>
      </c>
      <c r="I8" s="19" t="str">
        <f>IF(EXACT(E7,"Not Supported"),"11",INDEX(AS5:AS8,MATCH(I7,AR5:AR8,0)))</f>
        <v>11</v>
      </c>
      <c r="J8" s="20" t="str">
        <f>DEC2BIN(VLOOKUP(J7,AN5:AO36,2),5)</f>
        <v>00010</v>
      </c>
      <c r="K8" s="28">
        <v>0</v>
      </c>
      <c r="L8" s="19" t="str">
        <f>VLOOKUP(L7,AU5:AV8,2)</f>
        <v>00</v>
      </c>
      <c r="M8" s="29" t="str">
        <f>DEC2BIN(M7/( 0.49609375/127),7)</f>
        <v>0101011</v>
      </c>
      <c r="N8" s="21">
        <f>IF(AND(EXACT(N7,"Supported"),EXACT(P7,"Not Supported")),1,0)</f>
        <v>0</v>
      </c>
      <c r="O8" s="29" t="str">
        <f>DEC2BIN((O7-0.5)/((0.99609375-0.5)/127),7)</f>
        <v>1001100</v>
      </c>
      <c r="P8" s="21">
        <f>IF(AND(EXACT(P7,"Supported"),EXACT(N7,"Not Supported")),1,0)</f>
        <v>0</v>
      </c>
      <c r="Q8" s="20" t="str">
        <f>DEC2BIN((Q7-0.625)/((0.74609375-0.625)/31),5)</f>
        <v>10101</v>
      </c>
      <c r="R8" s="19" t="str">
        <f>DEC2BIN((R7-0.125)/((0.15234375-0.125)/7),3)</f>
        <v>001</v>
      </c>
      <c r="S8" s="20" t="str">
        <f>DEC2BIN((S7-0.25)/((0.37109375-0.25)/31),5)</f>
        <v>01010</v>
      </c>
      <c r="T8" s="19" t="str">
        <f>DEC2BIN((T7-0.03125)/((0.05859375-0.03125)/7),3)</f>
        <v>011</v>
      </c>
      <c r="V8" s="63"/>
      <c r="W8" s="63" t="s">
        <v>72</v>
      </c>
      <c r="X8" s="63" t="s">
        <v>72</v>
      </c>
      <c r="Y8" s="63" t="s">
        <v>6</v>
      </c>
      <c r="Z8" s="63" t="s">
        <v>89</v>
      </c>
      <c r="AA8" s="63" t="s">
        <v>112</v>
      </c>
      <c r="AB8" s="63" t="s">
        <v>7</v>
      </c>
      <c r="AC8" s="63" t="s">
        <v>7</v>
      </c>
      <c r="AD8" s="63" t="s">
        <v>113</v>
      </c>
      <c r="AE8" s="63" t="s">
        <v>184</v>
      </c>
      <c r="AF8" s="63" t="s">
        <v>185</v>
      </c>
      <c r="AG8" s="63" t="s">
        <v>106</v>
      </c>
      <c r="AH8" s="63" t="s">
        <v>129</v>
      </c>
      <c r="AI8" s="63" t="s">
        <v>191</v>
      </c>
      <c r="AJ8" s="63" t="s">
        <v>135</v>
      </c>
      <c r="AK8" s="63" t="s">
        <v>192</v>
      </c>
      <c r="AL8" s="63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s="102" cm="1">
        <f t="array" ref="AQ8">ROUND(PQ2nits((20*$AO8)/(2055+31*65)),3)</f>
        <v>5.0000000000000001E-3</v>
      </c>
      <c r="AR8" s="11" t="s">
        <v>27</v>
      </c>
      <c r="AS8" s="11" t="s">
        <v>29</v>
      </c>
      <c r="AU8" s="13" t="s">
        <v>39</v>
      </c>
      <c r="AV8" s="8" t="s">
        <v>29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3"/>
      <c r="W9" s="63" t="s">
        <v>74</v>
      </c>
      <c r="X9" s="63" t="s">
        <v>106</v>
      </c>
      <c r="Y9" s="63" t="s">
        <v>191</v>
      </c>
      <c r="Z9" s="63" t="s">
        <v>102</v>
      </c>
      <c r="AA9" s="63" t="s">
        <v>7</v>
      </c>
      <c r="AB9" s="63" t="s">
        <v>7</v>
      </c>
      <c r="AC9" s="63" t="s">
        <v>6</v>
      </c>
      <c r="AD9" s="63" t="s">
        <v>6</v>
      </c>
      <c r="AE9" s="63" t="s">
        <v>6</v>
      </c>
      <c r="AF9" s="63" t="s">
        <v>6</v>
      </c>
      <c r="AG9" s="63" t="s">
        <v>6</v>
      </c>
      <c r="AH9" s="63" t="s">
        <v>6</v>
      </c>
      <c r="AI9" s="63" t="s">
        <v>6</v>
      </c>
      <c r="AJ9" s="63" t="s">
        <v>6</v>
      </c>
      <c r="AK9" s="63" t="s">
        <v>6</v>
      </c>
      <c r="AL9" s="63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s="102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9" t="s">
        <v>63</v>
      </c>
      <c r="C10" s="40" t="s">
        <v>65</v>
      </c>
      <c r="D10" s="41"/>
      <c r="E10" s="41"/>
      <c r="F10" s="41"/>
      <c r="G10" s="41"/>
      <c r="H10" s="41"/>
      <c r="I10" s="41"/>
      <c r="J10" s="42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3"/>
      <c r="W10" s="63" t="s">
        <v>6</v>
      </c>
      <c r="X10" s="63" t="s">
        <v>6</v>
      </c>
      <c r="Y10" s="63" t="s">
        <v>6</v>
      </c>
      <c r="Z10" s="63" t="s">
        <v>6</v>
      </c>
      <c r="AA10" s="63" t="s">
        <v>6</v>
      </c>
      <c r="AB10" s="63" t="s">
        <v>6</v>
      </c>
      <c r="AC10" s="63" t="s">
        <v>140</v>
      </c>
      <c r="AD10" s="63" t="s">
        <v>144</v>
      </c>
      <c r="AE10" s="63" t="s">
        <v>7</v>
      </c>
      <c r="AF10" s="63" t="s">
        <v>145</v>
      </c>
      <c r="AG10" s="63" t="s">
        <v>71</v>
      </c>
      <c r="AH10" s="63" t="s">
        <v>146</v>
      </c>
      <c r="AI10" s="63" t="s">
        <v>147</v>
      </c>
      <c r="AJ10" s="63" t="s">
        <v>112</v>
      </c>
      <c r="AK10" s="63" t="s">
        <v>136</v>
      </c>
      <c r="AL10" s="63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s="102" cm="1">
        <f t="array" ref="AQ10">ROUND(PQ2nits((20*$AO10)/(2055+31*65)),3)</f>
        <v>1.2999999999999999E-2</v>
      </c>
      <c r="AR10" s="5"/>
    </row>
    <row r="11" spans="2:54" ht="15" thickBot="1" x14ac:dyDescent="0.35">
      <c r="B11" s="50" t="s">
        <v>64</v>
      </c>
      <c r="C11" s="38" t="s">
        <v>262</v>
      </c>
      <c r="D11" s="9"/>
      <c r="E11" s="9"/>
      <c r="F11" s="9"/>
      <c r="G11" s="9"/>
      <c r="H11" s="9"/>
      <c r="I11" s="9"/>
      <c r="J11" s="43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3"/>
      <c r="W11" s="63" t="s">
        <v>119</v>
      </c>
      <c r="X11" s="63" t="s">
        <v>7</v>
      </c>
      <c r="Y11" s="63" t="s">
        <v>104</v>
      </c>
      <c r="Z11" s="63" t="s">
        <v>193</v>
      </c>
      <c r="AA11" s="63" t="s">
        <v>194</v>
      </c>
      <c r="AB11" s="63" t="s">
        <v>7</v>
      </c>
      <c r="AC11" s="63" t="s">
        <v>7</v>
      </c>
      <c r="AD11" s="63" t="s">
        <v>77</v>
      </c>
      <c r="AE11" s="63" t="s">
        <v>88</v>
      </c>
      <c r="AF11" s="63" t="s">
        <v>150</v>
      </c>
      <c r="AG11" s="63" t="s">
        <v>112</v>
      </c>
      <c r="AH11" s="63" t="s">
        <v>126</v>
      </c>
      <c r="AI11" s="63" t="s">
        <v>151</v>
      </c>
      <c r="AJ11" s="63" t="s">
        <v>111</v>
      </c>
      <c r="AK11" s="63" t="s">
        <v>121</v>
      </c>
      <c r="AL11" s="63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s="102" cm="1">
        <f t="array" ref="AQ11">ROUND(PQ2nits((20*$AO11)/(2055+31*65)),3)</f>
        <v>1.9E-2</v>
      </c>
      <c r="AR11" s="5"/>
    </row>
    <row r="12" spans="2:54" x14ac:dyDescent="0.3">
      <c r="B12" s="53" t="s">
        <v>0</v>
      </c>
      <c r="C12" s="54" t="str">
        <f>_xlfn.CONCAT(B5:T5)</f>
        <v>EB0146D0004853105698A953</v>
      </c>
      <c r="D12" s="54"/>
      <c r="E12" s="54"/>
      <c r="F12" s="54"/>
      <c r="G12" s="54"/>
      <c r="H12" s="54"/>
      <c r="I12" s="54"/>
      <c r="J12" s="55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3"/>
      <c r="W12" s="63" t="s">
        <v>148</v>
      </c>
      <c r="X12" s="63" t="s">
        <v>152</v>
      </c>
      <c r="Y12" s="63" t="s">
        <v>142</v>
      </c>
      <c r="Z12" s="63" t="s">
        <v>7</v>
      </c>
      <c r="AA12" s="63" t="s">
        <v>104</v>
      </c>
      <c r="AB12" s="63" t="s">
        <v>193</v>
      </c>
      <c r="AC12" s="63" t="s">
        <v>194</v>
      </c>
      <c r="AD12" s="63" t="s">
        <v>7</v>
      </c>
      <c r="AE12" s="63" t="s">
        <v>7</v>
      </c>
      <c r="AF12" s="63" t="s">
        <v>77</v>
      </c>
      <c r="AG12" s="63" t="s">
        <v>7</v>
      </c>
      <c r="AH12" s="63" t="s">
        <v>7</v>
      </c>
      <c r="AI12" s="63" t="s">
        <v>7</v>
      </c>
      <c r="AJ12" s="63" t="s">
        <v>158</v>
      </c>
      <c r="AK12" s="63" t="s">
        <v>7</v>
      </c>
      <c r="AL12" s="63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s="102" cm="1">
        <f t="array" ref="AQ12">ROUND(PQ2nits((20*$AO12)/(2055+31*65)),3)</f>
        <v>2.5999999999999999E-2</v>
      </c>
    </row>
    <row r="13" spans="2:54" x14ac:dyDescent="0.3">
      <c r="B13" s="51" t="s">
        <v>62</v>
      </c>
      <c r="C13" s="45" t="str" cm="1">
        <f t="array" ref="C13">EDIDCheckSum(C12)</f>
        <v>43</v>
      </c>
      <c r="D13" s="39"/>
      <c r="E13" s="39"/>
      <c r="F13" s="39"/>
      <c r="G13" s="39"/>
      <c r="H13" s="39"/>
      <c r="I13" s="39"/>
      <c r="J13" s="44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3"/>
      <c r="W13" s="63" t="s">
        <v>190</v>
      </c>
      <c r="X13" s="63" t="s">
        <v>74</v>
      </c>
      <c r="Y13" s="63" t="s">
        <v>160</v>
      </c>
      <c r="Z13" s="63" t="s">
        <v>84</v>
      </c>
      <c r="AA13" s="63" t="s">
        <v>7</v>
      </c>
      <c r="AB13" s="63" t="s">
        <v>117</v>
      </c>
      <c r="AC13" s="63" t="s">
        <v>102</v>
      </c>
      <c r="AD13" s="63" t="s">
        <v>102</v>
      </c>
      <c r="AE13" s="63" t="s">
        <v>102</v>
      </c>
      <c r="AF13" s="63" t="s">
        <v>102</v>
      </c>
      <c r="AG13" s="63" t="s">
        <v>102</v>
      </c>
      <c r="AH13" s="63" t="s">
        <v>102</v>
      </c>
      <c r="AI13" s="63" t="s">
        <v>7</v>
      </c>
      <c r="AJ13" s="63" t="s">
        <v>7</v>
      </c>
      <c r="AK13" s="63" t="s">
        <v>7</v>
      </c>
      <c r="AL13" s="63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s="102" cm="1">
        <f t="array" ref="AQ13">ROUND(PQ2nits((20*$AO13)/(2055+31*65)),3)</f>
        <v>3.5000000000000003E-2</v>
      </c>
    </row>
    <row r="14" spans="2:54" x14ac:dyDescent="0.3">
      <c r="B14" s="52" t="s">
        <v>164</v>
      </c>
      <c r="C14" s="91" t="str">
        <f>_xlfn.CONCAT(":1073D0000086",_xlfn.CONCAT(W7:AJ7))</f>
        <v>:1073D000008600ffffffffffff004ca312a80101</v>
      </c>
      <c r="D14" s="39"/>
      <c r="E14" s="39"/>
      <c r="F14" s="39"/>
      <c r="G14" s="39" t="str" cm="1">
        <f t="array" ref="G14">IntelHexChecksum(RIGHT(C14,40))</f>
        <v>82</v>
      </c>
      <c r="H14" s="39"/>
      <c r="I14" s="39"/>
      <c r="J14" s="44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3"/>
      <c r="W14" s="63" t="s">
        <v>7</v>
      </c>
      <c r="X14" s="63" t="s">
        <v>142</v>
      </c>
      <c r="Y14" s="63" t="s">
        <v>106</v>
      </c>
      <c r="Z14" s="63" t="s">
        <v>90</v>
      </c>
      <c r="AA14" s="63" t="s">
        <v>156</v>
      </c>
      <c r="AB14" s="63" t="s">
        <v>186</v>
      </c>
      <c r="AC14" s="63" t="s">
        <v>102</v>
      </c>
      <c r="AD14" s="63" t="s">
        <v>106</v>
      </c>
      <c r="AE14" s="63" t="s">
        <v>187</v>
      </c>
      <c r="AF14" s="63" t="s">
        <v>117</v>
      </c>
      <c r="AG14" s="63" t="s">
        <v>102</v>
      </c>
      <c r="AH14" s="63" t="s">
        <v>102</v>
      </c>
      <c r="AI14" s="63" t="s">
        <v>102</v>
      </c>
      <c r="AJ14" s="63" t="s">
        <v>102</v>
      </c>
      <c r="AK14" s="63" t="s">
        <v>6</v>
      </c>
      <c r="AL14" s="63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s="102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52" t="s">
        <v>165</v>
      </c>
      <c r="C15" s="91" t="str">
        <f>_xlfn.CONCAT(":10",RIGHT(B15,4),"00",AK7:AL7,W8:AJ8)</f>
        <v>:1073E00001011f1f0103800000780ede50a3544c</v>
      </c>
      <c r="D15" s="39"/>
      <c r="E15" s="39"/>
      <c r="F15" s="39"/>
      <c r="G15" s="39" t="str" cm="1">
        <f t="array" ref="G15">IntelHexChecksum(RIGHT(C15,40))</f>
        <v>E2</v>
      </c>
      <c r="H15" s="39"/>
      <c r="I15" s="39"/>
      <c r="J15" s="44"/>
      <c r="V15" s="65" t="s">
        <v>69</v>
      </c>
      <c r="W15" s="63" t="s">
        <v>88</v>
      </c>
      <c r="X15" s="63" t="s">
        <v>89</v>
      </c>
      <c r="Y15" s="96" t="s">
        <v>94</v>
      </c>
      <c r="Z15" s="63" t="s">
        <v>256</v>
      </c>
      <c r="AA15" s="63" t="s">
        <v>190</v>
      </c>
      <c r="AB15" s="63" t="s">
        <v>91</v>
      </c>
      <c r="AC15" s="63" t="s">
        <v>92</v>
      </c>
      <c r="AD15" s="63" t="s">
        <v>94</v>
      </c>
      <c r="AE15" s="63" t="s">
        <v>93</v>
      </c>
      <c r="AF15" s="63" t="s">
        <v>78</v>
      </c>
      <c r="AG15" s="63" t="s">
        <v>197</v>
      </c>
      <c r="AH15" s="63" t="s">
        <v>70</v>
      </c>
      <c r="AI15" s="63" t="s">
        <v>198</v>
      </c>
      <c r="AJ15" s="63" t="s">
        <v>28</v>
      </c>
      <c r="AK15" s="63" t="s">
        <v>72</v>
      </c>
      <c r="AL15" s="63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s="102" cm="1">
        <f t="array" ref="AQ15">ROUND(PQ2nits((20*$AO15)/(2055+31*65)),3)</f>
        <v>5.8000000000000003E-2</v>
      </c>
      <c r="AU15" s="6" t="s">
        <v>42</v>
      </c>
      <c r="AV15" s="22">
        <v>0.64</v>
      </c>
      <c r="AW15" s="22">
        <v>0.33</v>
      </c>
      <c r="AX15" s="22">
        <v>0.3</v>
      </c>
      <c r="AY15" s="22">
        <v>0.6</v>
      </c>
      <c r="AZ15" s="22">
        <v>0.15</v>
      </c>
      <c r="BA15" s="22">
        <v>0.06</v>
      </c>
      <c r="BB15" t="s">
        <v>53</v>
      </c>
    </row>
    <row r="16" spans="2:54" x14ac:dyDescent="0.3">
      <c r="B16" s="52" t="s">
        <v>166</v>
      </c>
      <c r="C16" s="91" t="str">
        <f t="shared" ref="C16:C29" si="2">_xlfn.CONCAT(":10",RIGHT(B16,4),"00",AK8:AL8,W9:AJ9)</f>
        <v>:1073F00099260f50542000000101010101010101</v>
      </c>
      <c r="D16" s="39"/>
      <c r="E16" s="39"/>
      <c r="F16" s="39"/>
      <c r="G16" s="39" t="str" cm="1">
        <f t="array" ref="G16">IntelHexChecksum(RIGHT(C16,40))</f>
        <v>F3</v>
      </c>
      <c r="H16" s="39"/>
      <c r="I16" s="39"/>
      <c r="J16" s="44"/>
      <c r="V16" s="63"/>
      <c r="W16" s="63" t="s">
        <v>102</v>
      </c>
      <c r="X16" s="63" t="s">
        <v>96</v>
      </c>
      <c r="Y16" s="63" t="s">
        <v>100</v>
      </c>
      <c r="Z16" s="63" t="s">
        <v>95</v>
      </c>
      <c r="AA16" s="63" t="s">
        <v>99</v>
      </c>
      <c r="AB16" s="63" t="s">
        <v>98</v>
      </c>
      <c r="AC16" s="63" t="s">
        <v>29</v>
      </c>
      <c r="AD16" s="63" t="s">
        <v>89</v>
      </c>
      <c r="AE16" s="63" t="s">
        <v>88</v>
      </c>
      <c r="AF16" s="63" t="s">
        <v>6</v>
      </c>
      <c r="AG16" s="63" t="s">
        <v>152</v>
      </c>
      <c r="AH16" s="63" t="s">
        <v>138</v>
      </c>
      <c r="AI16" s="63" t="s">
        <v>97</v>
      </c>
      <c r="AJ16" s="63" t="s">
        <v>97</v>
      </c>
      <c r="AK16" s="63" t="s">
        <v>257</v>
      </c>
      <c r="AL16" s="63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s="102" cm="1">
        <f t="array" ref="AQ16">ROUND(PQ2nits((20*$AO16)/(2055+31*65)),3)</f>
        <v>7.1999999999999995E-2</v>
      </c>
      <c r="AU16" s="6" t="s">
        <v>43</v>
      </c>
      <c r="AV16" s="22">
        <v>0.70799999999999996</v>
      </c>
      <c r="AW16" s="22">
        <v>0.29199999999999998</v>
      </c>
      <c r="AX16" s="22">
        <v>0.17</v>
      </c>
      <c r="AY16" s="22">
        <v>0.79700000000000004</v>
      </c>
      <c r="AZ16" s="22">
        <v>0.13100000000000001</v>
      </c>
      <c r="BA16" s="22">
        <v>4.5999999999999999E-2</v>
      </c>
      <c r="BB16" t="s">
        <v>51</v>
      </c>
    </row>
    <row r="17" spans="2:54" x14ac:dyDescent="0.3">
      <c r="B17" s="52" t="s">
        <v>167</v>
      </c>
      <c r="C17" s="91" t="str">
        <f t="shared" si="2"/>
        <v>:10740000010101010101010108e80030f2705a80</v>
      </c>
      <c r="D17" s="39"/>
      <c r="E17" s="39"/>
      <c r="F17" s="39"/>
      <c r="G17" s="39" t="str" cm="1">
        <f t="array" ref="G17">IntelHexChecksum(RIGHT(C17,40))</f>
        <v>18</v>
      </c>
      <c r="H17" s="39"/>
      <c r="I17" s="39"/>
      <c r="J17" s="44"/>
      <c r="V17" s="63"/>
      <c r="W17" s="63" t="s">
        <v>97</v>
      </c>
      <c r="X17" s="63" t="s">
        <v>78</v>
      </c>
      <c r="Y17" s="63" t="s">
        <v>108</v>
      </c>
      <c r="Z17" s="63" t="s">
        <v>7</v>
      </c>
      <c r="AA17" s="63" t="s">
        <v>108</v>
      </c>
      <c r="AB17" s="63" t="s">
        <v>95</v>
      </c>
      <c r="AC17" s="63" t="s">
        <v>7</v>
      </c>
      <c r="AD17" s="63" t="s">
        <v>240</v>
      </c>
      <c r="AE17" s="63" t="s">
        <v>89</v>
      </c>
      <c r="AF17" s="63" t="s">
        <v>83</v>
      </c>
      <c r="AG17" s="63" t="s">
        <v>7</v>
      </c>
      <c r="AH17" s="63" t="s">
        <v>28</v>
      </c>
      <c r="AI17" s="63" t="s">
        <v>7</v>
      </c>
      <c r="AJ17" s="63" t="s">
        <v>200</v>
      </c>
      <c r="AK17" s="63" t="s">
        <v>84</v>
      </c>
      <c r="AL17" s="63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s="102" cm="1">
        <f t="array" ref="AQ17">ROUND(PQ2nits((20*$AO17)/(2055+31*65)),3)</f>
        <v>8.7999999999999995E-2</v>
      </c>
      <c r="AU17" s="6" t="s">
        <v>44</v>
      </c>
      <c r="AV17" s="22">
        <v>0.68</v>
      </c>
      <c r="AW17" s="22">
        <v>0.32</v>
      </c>
      <c r="AX17" s="22">
        <v>0.26500000000000001</v>
      </c>
      <c r="AY17" s="22">
        <v>0.69</v>
      </c>
      <c r="AZ17" s="22">
        <v>0.15</v>
      </c>
      <c r="BA17" s="22">
        <v>0.06</v>
      </c>
      <c r="BB17" t="s">
        <v>52</v>
      </c>
    </row>
    <row r="18" spans="2:54" x14ac:dyDescent="0.3">
      <c r="B18" s="52" t="s">
        <v>168</v>
      </c>
      <c r="C18" s="91" t="str">
        <f t="shared" si="2"/>
        <v>:10741000b0588a0040846300001e023a80187138</v>
      </c>
      <c r="D18" s="39"/>
      <c r="E18" s="39"/>
      <c r="F18" s="39"/>
      <c r="G18" s="39" t="str" cm="1">
        <f t="array" ref="G18">IntelHexChecksum(RIGHT(C18,40))</f>
        <v>18</v>
      </c>
      <c r="H18" s="39"/>
      <c r="I18" s="39"/>
      <c r="J18" s="44"/>
      <c r="V18" s="63"/>
      <c r="W18" s="63" t="s">
        <v>258</v>
      </c>
      <c r="X18" s="63" t="s">
        <v>258</v>
      </c>
      <c r="Y18" s="63" t="s">
        <v>258</v>
      </c>
      <c r="Z18" s="63" t="s">
        <v>258</v>
      </c>
      <c r="AA18" s="63" t="s">
        <v>7</v>
      </c>
      <c r="AB18" s="63" t="s">
        <v>112</v>
      </c>
      <c r="AC18" s="63" t="s">
        <v>6</v>
      </c>
      <c r="AD18" s="63" t="s">
        <v>88</v>
      </c>
      <c r="AE18" s="63" t="s">
        <v>89</v>
      </c>
      <c r="AF18" s="63" t="s">
        <v>95</v>
      </c>
      <c r="AG18" s="63" t="s">
        <v>109</v>
      </c>
      <c r="AH18" s="63" t="s">
        <v>86</v>
      </c>
      <c r="AI18" s="63" t="s">
        <v>70</v>
      </c>
      <c r="AJ18" s="63" t="s">
        <v>87</v>
      </c>
      <c r="AK18" s="63" t="s">
        <v>6</v>
      </c>
      <c r="AL18" s="63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s="102" cm="1">
        <f t="array" ref="AQ18">ROUND(PQ2nits((20*$AO18)/(2055+31*65)),3)</f>
        <v>0.106</v>
      </c>
    </row>
    <row r="19" spans="2:54" x14ac:dyDescent="0.3">
      <c r="B19" s="52" t="s">
        <v>169</v>
      </c>
      <c r="C19" s="91" t="str">
        <f t="shared" si="2"/>
        <v>:107420002d40582c450040846300001e000000fd</v>
      </c>
      <c r="D19" s="39"/>
      <c r="E19" s="39"/>
      <c r="F19" s="39"/>
      <c r="G19" s="39" t="str" cm="1">
        <f t="array" ref="G19">IntelHexChecksum(RIGHT(C19,40))</f>
        <v>E4</v>
      </c>
      <c r="H19" s="39"/>
      <c r="I19" s="39"/>
      <c r="J19" s="44"/>
      <c r="V19" s="63"/>
      <c r="W19" s="97" t="s">
        <v>112</v>
      </c>
      <c r="X19" s="97" t="s">
        <v>259</v>
      </c>
      <c r="Y19" s="97" t="s">
        <v>110</v>
      </c>
      <c r="Z19" s="97" t="s">
        <v>78</v>
      </c>
      <c r="AA19" s="97" t="s">
        <v>7</v>
      </c>
      <c r="AB19" s="97" t="s">
        <v>7</v>
      </c>
      <c r="AC19" s="97" t="s">
        <v>85</v>
      </c>
      <c r="AD19" s="97" t="s">
        <v>7</v>
      </c>
      <c r="AE19" s="97" t="s">
        <v>203</v>
      </c>
      <c r="AF19" s="97" t="s">
        <v>204</v>
      </c>
      <c r="AG19" s="97" t="s">
        <v>6</v>
      </c>
      <c r="AH19" s="97" t="s">
        <v>260</v>
      </c>
      <c r="AI19" s="97" t="s">
        <v>193</v>
      </c>
      <c r="AJ19" s="97" t="s">
        <v>196</v>
      </c>
      <c r="AK19" s="97" t="s">
        <v>6</v>
      </c>
      <c r="AL19" s="97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s="102" cm="1">
        <f t="array" ref="AQ19">ROUND(PQ2nits((20*$AO19)/(2055+31*65)),3)</f>
        <v>0.127</v>
      </c>
    </row>
    <row r="20" spans="2:54" x14ac:dyDescent="0.3">
      <c r="B20" s="52" t="s">
        <v>170</v>
      </c>
      <c r="C20" s="91" t="str">
        <f t="shared" si="2"/>
        <v>:107430000018550f873c000a2020202020200000</v>
      </c>
      <c r="D20" s="39"/>
      <c r="E20" s="39"/>
      <c r="F20" s="39"/>
      <c r="G20" s="39" t="str" cm="1">
        <f t="array" ref="G20">IntelHexChecksum(RIGHT(C20,40))</f>
        <v>43</v>
      </c>
      <c r="H20" s="39"/>
      <c r="I20" s="39"/>
      <c r="J20" s="44"/>
      <c r="V20" s="63"/>
      <c r="W20" s="97" t="s">
        <v>96</v>
      </c>
      <c r="X20" s="97" t="s">
        <v>81</v>
      </c>
      <c r="Y20" s="97" t="s">
        <v>7</v>
      </c>
      <c r="Z20" s="97" t="s">
        <v>80</v>
      </c>
      <c r="AA20" s="97" t="s">
        <v>114</v>
      </c>
      <c r="AB20" s="97" t="s">
        <v>257</v>
      </c>
      <c r="AC20" s="97" t="s">
        <v>6</v>
      </c>
      <c r="AD20" s="97" t="s">
        <v>85</v>
      </c>
      <c r="AE20" s="97" t="s">
        <v>74</v>
      </c>
      <c r="AF20" s="97" t="s">
        <v>74</v>
      </c>
      <c r="AG20" s="96" t="s">
        <v>205</v>
      </c>
      <c r="AH20" s="96" t="s">
        <v>6</v>
      </c>
      <c r="AI20" s="96" t="s">
        <v>180</v>
      </c>
      <c r="AJ20" s="96" t="s">
        <v>118</v>
      </c>
      <c r="AK20" s="96" t="s">
        <v>7</v>
      </c>
      <c r="AL20" s="98" t="str">
        <f>C5</f>
        <v>48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s="102" cm="1">
        <f t="array" ref="AQ20">ROUND(PQ2nits((20*$AO20)/(2055+31*65)),3)</f>
        <v>0.15</v>
      </c>
    </row>
    <row r="21" spans="2:54" x14ac:dyDescent="0.3">
      <c r="B21" s="52" t="s">
        <v>171</v>
      </c>
      <c r="C21" s="91" t="str">
        <f t="shared" si="2"/>
        <v>:1074400000fc004550534f4e20504a0a20202020</v>
      </c>
      <c r="D21" s="39"/>
      <c r="E21" s="39"/>
      <c r="F21" s="39"/>
      <c r="G21" s="39" t="str" cm="1">
        <f t="array" ref="G21">IntelHexChecksum(RIGHT(C21,40))</f>
        <v>77</v>
      </c>
      <c r="H21" s="39"/>
      <c r="I21" s="39"/>
      <c r="J21" s="44"/>
      <c r="V21" s="63"/>
      <c r="W21" s="98" t="str">
        <f>G5</f>
        <v>53</v>
      </c>
      <c r="X21" s="98" t="str">
        <f>J5</f>
        <v>10</v>
      </c>
      <c r="Y21" s="98" t="str">
        <f>M5</f>
        <v>56</v>
      </c>
      <c r="Z21" s="98" t="str">
        <f>O5</f>
        <v>98</v>
      </c>
      <c r="AA21" s="98" t="str">
        <f>Q5</f>
        <v>A9</v>
      </c>
      <c r="AB21" s="98" t="str">
        <f>S5</f>
        <v>53</v>
      </c>
      <c r="AC21" s="63" t="s">
        <v>7</v>
      </c>
      <c r="AD21" s="63" t="s">
        <v>7</v>
      </c>
      <c r="AE21" s="63" t="s">
        <v>7</v>
      </c>
      <c r="AF21" s="63" t="s">
        <v>7</v>
      </c>
      <c r="AG21" s="63" t="s">
        <v>7</v>
      </c>
      <c r="AH21" s="63" t="s">
        <v>7</v>
      </c>
      <c r="AI21" s="63" t="s">
        <v>7</v>
      </c>
      <c r="AJ21" s="63" t="s">
        <v>7</v>
      </c>
      <c r="AK21" s="63" t="s">
        <v>7</v>
      </c>
      <c r="AL21" s="63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s="102" cm="1">
        <f t="array" ref="AQ21">ROUND(PQ2nits((20*$AO21)/(2055+31*65)),3)</f>
        <v>0.17599999999999999</v>
      </c>
    </row>
    <row r="22" spans="2:54" x14ac:dyDescent="0.3">
      <c r="B22" s="52" t="s">
        <v>162</v>
      </c>
      <c r="C22" s="91" t="str">
        <f t="shared" si="2"/>
        <v>:107450000107020366f055616066655f5e5d6210</v>
      </c>
      <c r="D22" s="39"/>
      <c r="E22" s="39"/>
      <c r="F22" s="39"/>
      <c r="G22" s="39" t="str" cm="1">
        <f t="array" ref="G22">IntelHexChecksum(RIGHT(C22,40))</f>
        <v>5C</v>
      </c>
      <c r="H22" s="39"/>
      <c r="I22" s="39"/>
      <c r="J22" s="44"/>
      <c r="V22" s="63"/>
      <c r="W22" s="63" t="s">
        <v>7</v>
      </c>
      <c r="X22" s="63" t="s">
        <v>7</v>
      </c>
      <c r="Y22" s="63" t="s">
        <v>7</v>
      </c>
      <c r="Z22" s="63" t="s">
        <v>7</v>
      </c>
      <c r="AA22" s="63" t="s">
        <v>7</v>
      </c>
      <c r="AB22" s="63" t="s">
        <v>7</v>
      </c>
      <c r="AC22" s="63" t="s">
        <v>7</v>
      </c>
      <c r="AD22" s="63" t="s">
        <v>7</v>
      </c>
      <c r="AE22" s="63" t="s">
        <v>7</v>
      </c>
      <c r="AF22" s="63" t="s">
        <v>7</v>
      </c>
      <c r="AG22" s="63" t="s">
        <v>7</v>
      </c>
      <c r="AH22" s="63" t="s">
        <v>7</v>
      </c>
      <c r="AI22" s="63" t="s">
        <v>7</v>
      </c>
      <c r="AJ22" s="63" t="s">
        <v>7</v>
      </c>
      <c r="AK22" s="63" t="s">
        <v>7</v>
      </c>
      <c r="AL22" s="96" t="s">
        <v>108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s="102" cm="1">
        <f t="array" ref="AQ22">ROUND(PQ2nits((20*$AO22)/(2055+31*65)),3)</f>
        <v>0.20399999999999999</v>
      </c>
    </row>
    <row r="23" spans="2:54" x14ac:dyDescent="0.3">
      <c r="B23" s="52" t="s">
        <v>172</v>
      </c>
      <c r="C23" s="91" t="str">
        <f t="shared" si="2"/>
        <v>:107460001f22200514041312110302012c090707</v>
      </c>
      <c r="D23" s="39"/>
      <c r="E23" s="39"/>
      <c r="F23" s="39"/>
      <c r="G23" s="39" t="str" cm="1">
        <f t="array" ref="G23">IntelHexChecksum(RIGHT(C23,40))</f>
        <v>1F</v>
      </c>
      <c r="H23" s="39"/>
      <c r="I23" s="39"/>
      <c r="J23" s="44"/>
      <c r="V23" s="63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s="102" cm="1">
        <f t="array" ref="AQ23">ROUND(PQ2nits((20*$AO23)/(2055+31*65)),3)</f>
        <v>0.23599999999999999</v>
      </c>
    </row>
    <row r="24" spans="2:54" x14ac:dyDescent="0.3">
      <c r="B24" s="52" t="s">
        <v>173</v>
      </c>
      <c r="C24" s="91" t="str">
        <f t="shared" si="2"/>
        <v>:107470000d07075f570057040072030c001000b8</v>
      </c>
      <c r="D24" s="39"/>
      <c r="E24" s="39"/>
      <c r="F24" s="39"/>
      <c r="G24" s="39" t="str" cm="1">
        <f t="array" ref="G24">IntelHexChecksum(RIGHT(C24,40))</f>
        <v>97</v>
      </c>
      <c r="H24" s="39"/>
      <c r="I24" s="39"/>
      <c r="J24" s="44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s="102" cm="1">
        <f t="array" ref="AQ24">ROUND(PQ2nits((20*$AO24)/(2055+31*65)),3)</f>
        <v>0.27100000000000002</v>
      </c>
    </row>
    <row r="25" spans="2:54" x14ac:dyDescent="0.3">
      <c r="B25" s="52" t="s">
        <v>174</v>
      </c>
      <c r="C25" s="91" t="str">
        <f t="shared" si="2"/>
        <v>:107480003ce04242424200800102030467d85dc4</v>
      </c>
      <c r="D25" s="39"/>
      <c r="E25" s="39"/>
      <c r="F25" s="39"/>
      <c r="G25" s="39" t="str" cm="1">
        <f t="array" ref="G25">IntelHexChecksum(RIGHT(C25,40))</f>
        <v>EE</v>
      </c>
      <c r="H25" s="39"/>
      <c r="I25" s="39"/>
      <c r="J25" s="44"/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s="102" cm="1">
        <f t="array" ref="AQ25">ROUND(PQ2nits((20*$AO25)/(2055+31*65)),3)</f>
        <v>0.31</v>
      </c>
    </row>
    <row r="26" spans="2:54" x14ac:dyDescent="0.3">
      <c r="B26" s="52" t="s">
        <v>175</v>
      </c>
      <c r="C26" s="91" t="str">
        <f t="shared" si="2"/>
        <v>:107490000178800b835f0000e200fbe5018b8490</v>
      </c>
      <c r="D26" s="39"/>
      <c r="E26" s="39"/>
      <c r="F26" s="39"/>
      <c r="G26" s="39" t="str" cm="1">
        <f t="array" ref="G26">IntelHexChecksum(RIGHT(C26,40))</f>
        <v>A4</v>
      </c>
      <c r="H26" s="39"/>
      <c r="I26" s="39"/>
      <c r="J26" s="44"/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s="102" cm="1">
        <f t="array" ref="AQ26">ROUND(PQ2nits((20*$AO26)/(2055+31*65)),3)</f>
        <v>0.35299999999999998</v>
      </c>
    </row>
    <row r="27" spans="2:54" x14ac:dyDescent="0.3">
      <c r="B27" s="52" t="s">
        <v>5</v>
      </c>
      <c r="C27" s="91" t="str">
        <f t="shared" si="2"/>
        <v>:1074A00001e305c000e3060d01e20f0feb0146d0</v>
      </c>
      <c r="D27" s="39"/>
      <c r="E27" s="39"/>
      <c r="F27" s="39"/>
      <c r="G27" s="39" t="str" cm="1">
        <f t="array" ref="G27">IntelHexChecksum(RIGHT(C27,40))</f>
        <v>3A</v>
      </c>
      <c r="H27" s="39"/>
      <c r="I27" s="39"/>
      <c r="J27" s="44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s="102" cm="1">
        <f t="array" ref="AQ27">ROUND(PQ2nits((20*$AO27)/(2055+31*65)),3)</f>
        <v>0.39900000000000002</v>
      </c>
    </row>
    <row r="28" spans="2:54" x14ac:dyDescent="0.3">
      <c r="B28" s="52" t="s">
        <v>176</v>
      </c>
      <c r="C28" s="91" t="str">
        <f t="shared" si="2"/>
        <v>:1074B000004853105698A9530000000000000000</v>
      </c>
      <c r="D28" s="39"/>
      <c r="E28" s="39"/>
      <c r="F28" s="39"/>
      <c r="G28" s="39" t="str" cm="1">
        <f t="array" ref="G28">IntelHexChecksum(RIGHT(C28,40))</f>
        <v>37</v>
      </c>
      <c r="H28" s="39"/>
      <c r="I28" s="39"/>
      <c r="J28" s="44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s="102" cm="1">
        <f t="array" ref="AQ28">ROUND(PQ2nits((20*$AO28)/(2055+31*65)),3)</f>
        <v>0.45</v>
      </c>
    </row>
    <row r="29" spans="2:54" x14ac:dyDescent="0.3">
      <c r="B29" s="52" t="s">
        <v>177</v>
      </c>
      <c r="C29" s="91" t="str">
        <f t="shared" si="2"/>
        <v>:1074C00000000000000000000000000000000000</v>
      </c>
      <c r="D29" s="39"/>
      <c r="E29" s="39"/>
      <c r="F29" s="39"/>
      <c r="G29" s="39" t="str" cm="1">
        <f t="array" ref="G29">IntelHexChecksum(RIGHT(C29,40))</f>
        <v>BC</v>
      </c>
      <c r="H29" s="39"/>
      <c r="I29" s="39"/>
      <c r="J29" s="44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s="102" cm="1">
        <f t="array" ref="AQ29">ROUND(PQ2nits((20*$AO29)/(2055+31*65)),3)</f>
        <v>0.50600000000000001</v>
      </c>
    </row>
    <row r="30" spans="2:54" ht="15" thickBot="1" x14ac:dyDescent="0.35">
      <c r="B30" s="94" t="s">
        <v>178</v>
      </c>
      <c r="C30" s="95" t="str">
        <f>_xlfn.CONCAT(":10",RIGHT(B30,4),"00",AK22:AL22,"00FFFFFFFFFFFF00371801000100")</f>
        <v>:1074D000005700FFFFFFFFFFFF00371801000100</v>
      </c>
      <c r="D30" s="47"/>
      <c r="E30" s="47"/>
      <c r="F30" s="47"/>
      <c r="G30" s="47" t="str" cm="1">
        <f t="array" ref="G30">IntelHexChecksum(RIGHT(C30,40))</f>
        <v>0A</v>
      </c>
      <c r="H30" s="47"/>
      <c r="I30" s="47"/>
      <c r="J30" s="48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s="102" cm="1">
        <f t="array" ref="AQ30">ROUND(PQ2nits((20*$AO30)/(2055+31*65)),3)</f>
        <v>0.56599999999999995</v>
      </c>
    </row>
    <row r="31" spans="2:54" x14ac:dyDescent="0.3">
      <c r="B31" s="92"/>
      <c r="C31" s="93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s="102" cm="1">
        <f t="array" ref="AQ31">ROUND(PQ2nits((20*$AO31)/(2055+31*65)),3)</f>
        <v>0.63100000000000001</v>
      </c>
    </row>
    <row r="32" spans="2:54" x14ac:dyDescent="0.3">
      <c r="B32" s="92"/>
      <c r="C32" s="93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s="102" cm="1">
        <f t="array" ref="AQ32">ROUND(PQ2nits((20*$AO32)/(2055+31*65)),3)</f>
        <v>0.70199999999999996</v>
      </c>
    </row>
    <row r="33" spans="2:55" x14ac:dyDescent="0.3">
      <c r="B33" s="92"/>
      <c r="C33" s="93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s="102" cm="1">
        <f t="array" ref="AQ33">ROUND(PQ2nits((20*$AO33)/(2055+31*65)),3)</f>
        <v>0.77900000000000003</v>
      </c>
    </row>
    <row r="34" spans="2:55" x14ac:dyDescent="0.3">
      <c r="B34" s="92"/>
      <c r="C34" s="93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s="102" cm="1">
        <f t="array" ref="AQ34">ROUND(PQ2nits((20*$AO34)/(2055+31*65)),3)</f>
        <v>0.86199999999999999</v>
      </c>
    </row>
    <row r="35" spans="2:55" x14ac:dyDescent="0.3">
      <c r="B35" s="92"/>
      <c r="C35" s="93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s="102" cm="1">
        <f t="array" ref="AQ35">ROUND(PQ2nits((20*$AO35)/(2055+31*65)),3)</f>
        <v>0.95099999999999996</v>
      </c>
    </row>
    <row r="36" spans="2:55" x14ac:dyDescent="0.3">
      <c r="B36" s="92"/>
      <c r="C36" s="93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s="102" cm="1">
        <f t="array" ref="AQ36">ROUND(PQ2nits((20*$AO36)/(2055+31*65)),3)</f>
        <v>1.048</v>
      </c>
    </row>
    <row r="37" spans="2:55" x14ac:dyDescent="0.3">
      <c r="B37" s="92"/>
      <c r="C37" s="93"/>
    </row>
    <row r="38" spans="2:55" x14ac:dyDescent="0.3">
      <c r="B38" s="92"/>
      <c r="C38" s="93"/>
    </row>
    <row r="39" spans="2:55" x14ac:dyDescent="0.3">
      <c r="B39" s="92"/>
      <c r="C39" s="93"/>
    </row>
    <row r="40" spans="2:55" x14ac:dyDescent="0.3"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</row>
    <row r="41" spans="2:55" x14ac:dyDescent="0.3"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</row>
    <row r="42" spans="2:55" x14ac:dyDescent="0.3"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</row>
    <row r="43" spans="2:55" x14ac:dyDescent="0.3"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</row>
    <row r="44" spans="2:55" x14ac:dyDescent="0.3"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</row>
    <row r="45" spans="2:55" x14ac:dyDescent="0.3"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</row>
    <row r="46" spans="2:55" x14ac:dyDescent="0.3"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</row>
    <row r="47" spans="2:55" x14ac:dyDescent="0.3"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</row>
    <row r="48" spans="2:55" x14ac:dyDescent="0.3"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</row>
    <row r="49" spans="23:39" x14ac:dyDescent="0.3"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</row>
    <row r="50" spans="23:39" x14ac:dyDescent="0.3"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</row>
    <row r="51" spans="23:39" x14ac:dyDescent="0.3"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</row>
    <row r="52" spans="23:39" x14ac:dyDescent="0.3"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</row>
    <row r="53" spans="23:39" x14ac:dyDescent="0.3"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</row>
    <row r="54" spans="23:39" x14ac:dyDescent="0.3"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" priority="4">
      <formula>$E$7="Not Supported"</formula>
    </cfRule>
  </conditionalFormatting>
  <conditionalFormatting sqref="N7">
    <cfRule type="expression" dxfId="2" priority="3">
      <formula>$P$7="Supported"</formula>
    </cfRule>
  </conditionalFormatting>
  <conditionalFormatting sqref="P7">
    <cfRule type="expression" dxfId="1" priority="2">
      <formula>$N$7="Supported"</formula>
    </cfRule>
  </conditionalFormatting>
  <conditionalFormatting sqref="N7 P7">
    <cfRule type="expression" dxfId="0" priority="1" stopIfTrue="1">
      <formula>IF(AND($N$7="Supported",$P$7="Supported"),TRUE,FALSE)</formula>
    </cfRule>
  </conditionalFormatting>
  <dataValidations count="6">
    <dataValidation type="list" allowBlank="1" showInputMessage="1" showErrorMessage="1" sqref="G7" xr:uid="{03C0A80D-90AB-4190-9F68-5C4AC8B78153}">
      <formula1>$AQ$5:$AQ$36</formula1>
    </dataValidation>
    <dataValidation type="list" allowBlank="1" showInputMessage="1" showErrorMessage="1" sqref="E7:F7 H7 N7 P7" xr:uid="{D0F5499B-0061-4979-8920-49CD3911A5DB}">
      <formula1>"Supported, Not Supported"</formula1>
    </dataValidation>
    <dataValidation type="list" allowBlank="1" showInputMessage="1" showErrorMessage="1" sqref="L7" xr:uid="{8A86A4C7-486A-4446-9749-C03958F52A53}">
      <formula1>$AU$5:$AU$8</formula1>
    </dataValidation>
    <dataValidation type="list" allowBlank="1" showInputMessage="1" showErrorMessage="1" sqref="I3" xr:uid="{8C077BC1-C7CF-46A2-937F-16C907BB0960}">
      <formula1>$AU$15:$AU$17</formula1>
    </dataValidation>
    <dataValidation type="list" allowBlank="1" showInputMessage="1" showErrorMessage="1" sqref="I7" xr:uid="{3457BCC0-77C3-454F-B749-2F51580AAD97}">
      <formula1>$AR$5:$AR$9</formula1>
    </dataValidation>
    <dataValidation type="list" allowBlank="1" showInputMessage="1" showErrorMessage="1" sqref="J7" xr:uid="{DB8627D9-01B2-4DD6-9239-03C236D1FE6B}">
      <formula1>$AN$5:$AN$36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586740</xdr:colOff>
                    <xdr:row>10</xdr:row>
                    <xdr:rowOff>106680</xdr:rowOff>
                  </from>
                  <to>
                    <xdr:col>13</xdr:col>
                    <xdr:colOff>350520</xdr:colOff>
                    <xdr:row>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777240</xdr:colOff>
                    <xdr:row>9</xdr:row>
                    <xdr:rowOff>7620</xdr:rowOff>
                  </from>
                  <to>
                    <xdr:col>1</xdr:col>
                    <xdr:colOff>1028700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777240</xdr:colOff>
                    <xdr:row>10</xdr:row>
                    <xdr:rowOff>0</xdr:rowOff>
                  </from>
                  <to>
                    <xdr:col>1</xdr:col>
                    <xdr:colOff>1028700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35324-2DBC-4FFD-8EE4-7DE7AE690F1F}">
  <sheetPr codeName="Sheet3"/>
  <dimension ref="B1:R33"/>
  <sheetViews>
    <sheetView workbookViewId="0">
      <selection activeCell="I40" sqref="I40"/>
    </sheetView>
  </sheetViews>
  <sheetFormatPr defaultRowHeight="14.4" x14ac:dyDescent="0.3"/>
  <cols>
    <col min="3" max="18" width="3.88671875" style="7" customWidth="1"/>
  </cols>
  <sheetData>
    <row r="1" spans="2:18" x14ac:dyDescent="0.3"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</row>
    <row r="2" spans="2:18" x14ac:dyDescent="0.3"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</row>
    <row r="3" spans="2:18" x14ac:dyDescent="0.3"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</row>
    <row r="4" spans="2:18" x14ac:dyDescent="0.3">
      <c r="B4" s="65" t="s">
        <v>161</v>
      </c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</row>
    <row r="5" spans="2:18" ht="15" thickBot="1" x14ac:dyDescent="0.35"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</row>
    <row r="6" spans="2:18" ht="15" thickBot="1" x14ac:dyDescent="0.35">
      <c r="C6" s="84">
        <v>0</v>
      </c>
      <c r="D6" s="85">
        <v>1</v>
      </c>
      <c r="E6" s="85">
        <v>2</v>
      </c>
      <c r="F6" s="85">
        <v>3</v>
      </c>
      <c r="G6" s="85">
        <v>4</v>
      </c>
      <c r="H6" s="85">
        <v>5</v>
      </c>
      <c r="I6" s="85">
        <v>6</v>
      </c>
      <c r="J6" s="85">
        <v>7</v>
      </c>
      <c r="K6" s="85">
        <v>8</v>
      </c>
      <c r="L6" s="85">
        <v>9</v>
      </c>
      <c r="M6" s="85">
        <v>10</v>
      </c>
      <c r="N6" s="85">
        <v>11</v>
      </c>
      <c r="O6" s="85">
        <v>12</v>
      </c>
      <c r="P6" s="85">
        <v>13</v>
      </c>
      <c r="Q6" s="85">
        <v>14</v>
      </c>
      <c r="R6" s="86">
        <v>15</v>
      </c>
    </row>
    <row r="7" spans="2:18" ht="15" thickBot="1" x14ac:dyDescent="0.35">
      <c r="B7" s="65" t="s">
        <v>68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</row>
    <row r="8" spans="2:18" s="63" customFormat="1" x14ac:dyDescent="0.3">
      <c r="C8" s="66" t="s">
        <v>7</v>
      </c>
      <c r="D8" s="67" t="s">
        <v>127</v>
      </c>
      <c r="E8" s="67" t="s">
        <v>127</v>
      </c>
      <c r="F8" s="67" t="s">
        <v>127</v>
      </c>
      <c r="G8" s="67" t="s">
        <v>127</v>
      </c>
      <c r="H8" s="67" t="s">
        <v>127</v>
      </c>
      <c r="I8" s="67" t="s">
        <v>127</v>
      </c>
      <c r="J8" s="67" t="s">
        <v>7</v>
      </c>
      <c r="K8" s="67" t="s">
        <v>128</v>
      </c>
      <c r="L8" s="67" t="s">
        <v>129</v>
      </c>
      <c r="M8" s="67" t="s">
        <v>6</v>
      </c>
      <c r="N8" s="67" t="s">
        <v>7</v>
      </c>
      <c r="O8" s="67" t="s">
        <v>6</v>
      </c>
      <c r="P8" s="67" t="s">
        <v>7</v>
      </c>
      <c r="Q8" s="67" t="s">
        <v>7</v>
      </c>
      <c r="R8" s="68" t="s">
        <v>7</v>
      </c>
    </row>
    <row r="9" spans="2:18" s="63" customFormat="1" x14ac:dyDescent="0.3">
      <c r="C9" s="69" t="s">
        <v>95</v>
      </c>
      <c r="D9" s="70" t="s">
        <v>130</v>
      </c>
      <c r="E9" s="70" t="s">
        <v>6</v>
      </c>
      <c r="F9" s="70" t="s">
        <v>89</v>
      </c>
      <c r="G9" s="70" t="s">
        <v>112</v>
      </c>
      <c r="H9" s="70" t="s">
        <v>131</v>
      </c>
      <c r="I9" s="70" t="s">
        <v>132</v>
      </c>
      <c r="J9" s="70" t="s">
        <v>113</v>
      </c>
      <c r="K9" s="70" t="s">
        <v>117</v>
      </c>
      <c r="L9" s="70" t="s">
        <v>133</v>
      </c>
      <c r="M9" s="70" t="s">
        <v>134</v>
      </c>
      <c r="N9" s="70" t="s">
        <v>129</v>
      </c>
      <c r="O9" s="70" t="s">
        <v>108</v>
      </c>
      <c r="P9" s="70" t="s">
        <v>135</v>
      </c>
      <c r="Q9" s="70" t="s">
        <v>136</v>
      </c>
      <c r="R9" s="71" t="s">
        <v>137</v>
      </c>
    </row>
    <row r="10" spans="2:18" s="63" customFormat="1" x14ac:dyDescent="0.3">
      <c r="C10" s="69" t="s">
        <v>138</v>
      </c>
      <c r="D10" s="70" t="s">
        <v>139</v>
      </c>
      <c r="E10" s="70" t="s">
        <v>135</v>
      </c>
      <c r="F10" s="70" t="s">
        <v>125</v>
      </c>
      <c r="G10" s="70" t="s">
        <v>140</v>
      </c>
      <c r="H10" s="70" t="s">
        <v>7</v>
      </c>
      <c r="I10" s="70" t="s">
        <v>141</v>
      </c>
      <c r="J10" s="70" t="s">
        <v>112</v>
      </c>
      <c r="K10" s="70" t="s">
        <v>142</v>
      </c>
      <c r="L10" s="70" t="s">
        <v>104</v>
      </c>
      <c r="M10" s="70" t="s">
        <v>91</v>
      </c>
      <c r="N10" s="70" t="s">
        <v>104</v>
      </c>
      <c r="O10" s="70" t="s">
        <v>143</v>
      </c>
      <c r="P10" s="70" t="s">
        <v>7</v>
      </c>
      <c r="Q10" s="70" t="s">
        <v>6</v>
      </c>
      <c r="R10" s="71" t="s">
        <v>6</v>
      </c>
    </row>
    <row r="11" spans="2:18" s="63" customFormat="1" x14ac:dyDescent="0.3">
      <c r="C11" s="69" t="s">
        <v>6</v>
      </c>
      <c r="D11" s="70" t="s">
        <v>6</v>
      </c>
      <c r="E11" s="70" t="s">
        <v>6</v>
      </c>
      <c r="F11" s="70" t="s">
        <v>6</v>
      </c>
      <c r="G11" s="70" t="s">
        <v>6</v>
      </c>
      <c r="H11" s="70" t="s">
        <v>6</v>
      </c>
      <c r="I11" s="70" t="s">
        <v>140</v>
      </c>
      <c r="J11" s="70" t="s">
        <v>144</v>
      </c>
      <c r="K11" s="70" t="s">
        <v>7</v>
      </c>
      <c r="L11" s="70" t="s">
        <v>145</v>
      </c>
      <c r="M11" s="70" t="s">
        <v>71</v>
      </c>
      <c r="N11" s="70" t="s">
        <v>146</v>
      </c>
      <c r="O11" s="70" t="s">
        <v>147</v>
      </c>
      <c r="P11" s="70" t="s">
        <v>112</v>
      </c>
      <c r="Q11" s="70" t="s">
        <v>136</v>
      </c>
      <c r="R11" s="71" t="s">
        <v>148</v>
      </c>
    </row>
    <row r="12" spans="2:18" s="63" customFormat="1" x14ac:dyDescent="0.3">
      <c r="C12" s="69" t="s">
        <v>119</v>
      </c>
      <c r="D12" s="70" t="s">
        <v>7</v>
      </c>
      <c r="E12" s="70" t="s">
        <v>106</v>
      </c>
      <c r="F12" s="70" t="s">
        <v>149</v>
      </c>
      <c r="G12" s="70" t="s">
        <v>134</v>
      </c>
      <c r="H12" s="70" t="s">
        <v>7</v>
      </c>
      <c r="I12" s="70" t="s">
        <v>7</v>
      </c>
      <c r="J12" s="70" t="s">
        <v>77</v>
      </c>
      <c r="K12" s="70" t="s">
        <v>88</v>
      </c>
      <c r="L12" s="70" t="s">
        <v>150</v>
      </c>
      <c r="M12" s="70" t="s">
        <v>112</v>
      </c>
      <c r="N12" s="70" t="s">
        <v>126</v>
      </c>
      <c r="O12" s="70" t="s">
        <v>151</v>
      </c>
      <c r="P12" s="70" t="s">
        <v>111</v>
      </c>
      <c r="Q12" s="70" t="s">
        <v>121</v>
      </c>
      <c r="R12" s="71" t="s">
        <v>104</v>
      </c>
    </row>
    <row r="13" spans="2:18" s="63" customFormat="1" x14ac:dyDescent="0.3">
      <c r="C13" s="69" t="s">
        <v>148</v>
      </c>
      <c r="D13" s="70" t="s">
        <v>152</v>
      </c>
      <c r="E13" s="70" t="s">
        <v>142</v>
      </c>
      <c r="F13" s="70" t="s">
        <v>7</v>
      </c>
      <c r="G13" s="70" t="s">
        <v>106</v>
      </c>
      <c r="H13" s="70" t="s">
        <v>149</v>
      </c>
      <c r="I13" s="70" t="s">
        <v>134</v>
      </c>
      <c r="J13" s="70" t="s">
        <v>7</v>
      </c>
      <c r="K13" s="70" t="s">
        <v>7</v>
      </c>
      <c r="L13" s="70" t="s">
        <v>77</v>
      </c>
      <c r="M13" s="70" t="s">
        <v>7</v>
      </c>
      <c r="N13" s="70" t="s">
        <v>7</v>
      </c>
      <c r="O13" s="70" t="s">
        <v>7</v>
      </c>
      <c r="P13" s="70" t="s">
        <v>153</v>
      </c>
      <c r="Q13" s="70" t="s">
        <v>7</v>
      </c>
      <c r="R13" s="71" t="s">
        <v>154</v>
      </c>
    </row>
    <row r="14" spans="2:18" s="63" customFormat="1" x14ac:dyDescent="0.3">
      <c r="C14" s="69" t="s">
        <v>142</v>
      </c>
      <c r="D14" s="70" t="s">
        <v>155</v>
      </c>
      <c r="E14" s="70" t="s">
        <v>121</v>
      </c>
      <c r="F14" s="70" t="s">
        <v>156</v>
      </c>
      <c r="G14" s="70" t="s">
        <v>121</v>
      </c>
      <c r="H14" s="70" t="s">
        <v>157</v>
      </c>
      <c r="I14" s="70" t="s">
        <v>121</v>
      </c>
      <c r="J14" s="70" t="s">
        <v>139</v>
      </c>
      <c r="K14" s="70" t="s">
        <v>117</v>
      </c>
      <c r="L14" s="70" t="s">
        <v>102</v>
      </c>
      <c r="M14" s="70" t="s">
        <v>102</v>
      </c>
      <c r="N14" s="70" t="s">
        <v>102</v>
      </c>
      <c r="O14" s="70" t="s">
        <v>7</v>
      </c>
      <c r="P14" s="70" t="s">
        <v>7</v>
      </c>
      <c r="Q14" s="70" t="s">
        <v>7</v>
      </c>
      <c r="R14" s="71" t="s">
        <v>158</v>
      </c>
    </row>
    <row r="15" spans="2:18" s="63" customFormat="1" ht="15" thickBot="1" x14ac:dyDescent="0.35">
      <c r="C15" s="72" t="s">
        <v>7</v>
      </c>
      <c r="D15" s="73" t="s">
        <v>126</v>
      </c>
      <c r="E15" s="73" t="s">
        <v>159</v>
      </c>
      <c r="F15" s="73" t="s">
        <v>74</v>
      </c>
      <c r="G15" s="73" t="s">
        <v>160</v>
      </c>
      <c r="H15" s="73" t="s">
        <v>84</v>
      </c>
      <c r="I15" s="73" t="s">
        <v>7</v>
      </c>
      <c r="J15" s="73" t="s">
        <v>117</v>
      </c>
      <c r="K15" s="73" t="s">
        <v>102</v>
      </c>
      <c r="L15" s="73" t="s">
        <v>102</v>
      </c>
      <c r="M15" s="73" t="s">
        <v>102</v>
      </c>
      <c r="N15" s="73" t="s">
        <v>102</v>
      </c>
      <c r="O15" s="73" t="s">
        <v>102</v>
      </c>
      <c r="P15" s="73" t="s">
        <v>102</v>
      </c>
      <c r="Q15" s="73" t="s">
        <v>6</v>
      </c>
      <c r="R15" s="74" t="s">
        <v>139</v>
      </c>
    </row>
    <row r="16" spans="2:18" s="63" customFormat="1" x14ac:dyDescent="0.3"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</row>
    <row r="17" spans="2:18" s="63" customFormat="1" x14ac:dyDescent="0.3"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  <c r="R17" s="75"/>
    </row>
    <row r="18" spans="2:18" ht="15" thickBot="1" x14ac:dyDescent="0.35">
      <c r="B18" s="65" t="s">
        <v>69</v>
      </c>
    </row>
    <row r="19" spans="2:18" s="63" customFormat="1" x14ac:dyDescent="0.3">
      <c r="C19" s="76" t="s">
        <v>88</v>
      </c>
      <c r="D19" s="77" t="s">
        <v>89</v>
      </c>
      <c r="E19" s="77" t="s">
        <v>70</v>
      </c>
      <c r="F19" s="77" t="s">
        <v>71</v>
      </c>
      <c r="G19" s="77" t="s">
        <v>90</v>
      </c>
      <c r="H19" s="77" t="s">
        <v>91</v>
      </c>
      <c r="I19" s="77" t="s">
        <v>92</v>
      </c>
      <c r="J19" s="77" t="s">
        <v>93</v>
      </c>
      <c r="K19" s="77" t="s">
        <v>94</v>
      </c>
      <c r="L19" s="77" t="s">
        <v>6</v>
      </c>
      <c r="M19" s="77" t="s">
        <v>89</v>
      </c>
      <c r="N19" s="77" t="s">
        <v>95</v>
      </c>
      <c r="O19" s="77" t="s">
        <v>96</v>
      </c>
      <c r="P19" s="77" t="s">
        <v>97</v>
      </c>
      <c r="Q19" s="77" t="s">
        <v>28</v>
      </c>
      <c r="R19" s="78" t="s">
        <v>98</v>
      </c>
    </row>
    <row r="20" spans="2:18" s="63" customFormat="1" x14ac:dyDescent="0.3">
      <c r="C20" s="79" t="s">
        <v>99</v>
      </c>
      <c r="D20" s="80" t="s">
        <v>100</v>
      </c>
      <c r="E20" s="80" t="s">
        <v>101</v>
      </c>
      <c r="F20" s="80" t="s">
        <v>72</v>
      </c>
      <c r="G20" s="80" t="s">
        <v>102</v>
      </c>
      <c r="H20" s="80" t="s">
        <v>103</v>
      </c>
      <c r="I20" s="80" t="s">
        <v>73</v>
      </c>
      <c r="J20" s="80" t="s">
        <v>104</v>
      </c>
      <c r="K20" s="80" t="s">
        <v>105</v>
      </c>
      <c r="L20" s="80" t="s">
        <v>74</v>
      </c>
      <c r="M20" s="80" t="s">
        <v>75</v>
      </c>
      <c r="N20" s="80" t="s">
        <v>97</v>
      </c>
      <c r="O20" s="80" t="s">
        <v>76</v>
      </c>
      <c r="P20" s="80" t="s">
        <v>77</v>
      </c>
      <c r="Q20" s="80" t="s">
        <v>106</v>
      </c>
      <c r="R20" s="81" t="s">
        <v>107</v>
      </c>
    </row>
    <row r="21" spans="2:18" s="63" customFormat="1" x14ac:dyDescent="0.3">
      <c r="C21" s="79" t="s">
        <v>97</v>
      </c>
      <c r="D21" s="80" t="s">
        <v>106</v>
      </c>
      <c r="E21" s="80" t="s">
        <v>78</v>
      </c>
      <c r="F21" s="80" t="s">
        <v>79</v>
      </c>
      <c r="G21" s="80" t="s">
        <v>6</v>
      </c>
      <c r="H21" s="80" t="s">
        <v>108</v>
      </c>
      <c r="I21" s="80" t="s">
        <v>97</v>
      </c>
      <c r="J21" s="80" t="s">
        <v>6</v>
      </c>
      <c r="K21" s="80" t="s">
        <v>109</v>
      </c>
      <c r="L21" s="80" t="s">
        <v>79</v>
      </c>
      <c r="M21" s="80" t="s">
        <v>89</v>
      </c>
      <c r="N21" s="80" t="s">
        <v>110</v>
      </c>
      <c r="O21" s="80" t="s">
        <v>78</v>
      </c>
      <c r="P21" s="80" t="s">
        <v>7</v>
      </c>
      <c r="Q21" s="80" t="s">
        <v>7</v>
      </c>
      <c r="R21" s="81" t="s">
        <v>80</v>
      </c>
    </row>
    <row r="22" spans="2:18" s="63" customFormat="1" x14ac:dyDescent="0.3">
      <c r="C22" s="79" t="s">
        <v>96</v>
      </c>
      <c r="D22" s="80" t="s">
        <v>81</v>
      </c>
      <c r="E22" s="80" t="s">
        <v>7</v>
      </c>
      <c r="F22" s="80" t="s">
        <v>82</v>
      </c>
      <c r="G22" s="80" t="s">
        <v>89</v>
      </c>
      <c r="H22" s="80" t="s">
        <v>83</v>
      </c>
      <c r="I22" s="80" t="s">
        <v>7</v>
      </c>
      <c r="J22" s="80" t="s">
        <v>29</v>
      </c>
      <c r="K22" s="80" t="s">
        <v>7</v>
      </c>
      <c r="L22" s="80" t="s">
        <v>111</v>
      </c>
      <c r="M22" s="80" t="s">
        <v>84</v>
      </c>
      <c r="N22" s="80" t="s">
        <v>102</v>
      </c>
      <c r="O22" s="80" t="s">
        <v>112</v>
      </c>
      <c r="P22" s="80" t="s">
        <v>112</v>
      </c>
      <c r="Q22" s="80" t="s">
        <v>6</v>
      </c>
      <c r="R22" s="81" t="s">
        <v>88</v>
      </c>
    </row>
    <row r="23" spans="2:18" s="63" customFormat="1" x14ac:dyDescent="0.3">
      <c r="C23" s="79" t="s">
        <v>89</v>
      </c>
      <c r="D23" s="80" t="s">
        <v>95</v>
      </c>
      <c r="E23" s="80" t="s">
        <v>85</v>
      </c>
      <c r="F23" s="80" t="s">
        <v>74</v>
      </c>
      <c r="G23" s="80" t="s">
        <v>74</v>
      </c>
      <c r="H23" s="80" t="s">
        <v>109</v>
      </c>
      <c r="I23" s="80" t="s">
        <v>86</v>
      </c>
      <c r="J23" s="80" t="s">
        <v>70</v>
      </c>
      <c r="K23" s="80" t="s">
        <v>87</v>
      </c>
      <c r="L23" s="80" t="s">
        <v>6</v>
      </c>
      <c r="M23" s="80" t="s">
        <v>113</v>
      </c>
      <c r="N23" s="80" t="s">
        <v>112</v>
      </c>
      <c r="O23" s="80" t="s">
        <v>89</v>
      </c>
      <c r="P23" s="80" t="s">
        <v>80</v>
      </c>
      <c r="Q23" s="80" t="s">
        <v>114</v>
      </c>
      <c r="R23" s="81" t="s">
        <v>96</v>
      </c>
    </row>
    <row r="24" spans="2:18" s="63" customFormat="1" x14ac:dyDescent="0.3">
      <c r="C24" s="79" t="s">
        <v>6</v>
      </c>
      <c r="D24" s="87" t="s">
        <v>115</v>
      </c>
      <c r="E24" s="87" t="s">
        <v>115</v>
      </c>
      <c r="F24" s="87" t="s">
        <v>115</v>
      </c>
      <c r="G24" s="87" t="s">
        <v>115</v>
      </c>
      <c r="H24" s="87" t="s">
        <v>115</v>
      </c>
      <c r="I24" s="87" t="s">
        <v>115</v>
      </c>
      <c r="J24" s="87" t="s">
        <v>115</v>
      </c>
      <c r="K24" s="87" t="s">
        <v>115</v>
      </c>
      <c r="L24" s="87" t="s">
        <v>115</v>
      </c>
      <c r="M24" s="87" t="s">
        <v>115</v>
      </c>
      <c r="N24" s="87" t="s">
        <v>115</v>
      </c>
      <c r="O24" s="87" t="s">
        <v>115</v>
      </c>
      <c r="P24" s="80" t="s">
        <v>116</v>
      </c>
      <c r="Q24" s="80" t="s">
        <v>117</v>
      </c>
      <c r="R24" s="81" t="s">
        <v>118</v>
      </c>
    </row>
    <row r="25" spans="2:18" s="63" customFormat="1" x14ac:dyDescent="0.3">
      <c r="C25" s="79" t="s">
        <v>119</v>
      </c>
      <c r="D25" s="80" t="s">
        <v>102</v>
      </c>
      <c r="E25" s="80" t="s">
        <v>120</v>
      </c>
      <c r="F25" s="80" t="s">
        <v>121</v>
      </c>
      <c r="G25" s="80" t="s">
        <v>28</v>
      </c>
      <c r="H25" s="80" t="s">
        <v>28</v>
      </c>
      <c r="I25" s="80" t="s">
        <v>122</v>
      </c>
      <c r="J25" s="80" t="s">
        <v>124</v>
      </c>
      <c r="K25" s="80" t="s">
        <v>7</v>
      </c>
      <c r="L25" s="80" t="s">
        <v>87</v>
      </c>
      <c r="M25" s="80" t="s">
        <v>123</v>
      </c>
      <c r="N25" s="80" t="s">
        <v>125</v>
      </c>
      <c r="O25" s="80" t="s">
        <v>7</v>
      </c>
      <c r="P25" s="80" t="s">
        <v>7</v>
      </c>
      <c r="Q25" s="80" t="s">
        <v>126</v>
      </c>
      <c r="R25" s="81" t="s">
        <v>7</v>
      </c>
    </row>
    <row r="26" spans="2:18" s="63" customFormat="1" ht="15" thickBot="1" x14ac:dyDescent="0.35">
      <c r="C26" s="82" t="s">
        <v>7</v>
      </c>
      <c r="D26" s="83" t="s">
        <v>7</v>
      </c>
      <c r="E26" s="83" t="s">
        <v>7</v>
      </c>
      <c r="F26" s="83" t="s">
        <v>7</v>
      </c>
      <c r="G26" s="83" t="s">
        <v>7</v>
      </c>
      <c r="H26" s="83" t="s">
        <v>7</v>
      </c>
      <c r="I26" s="83" t="s">
        <v>7</v>
      </c>
      <c r="J26" s="83" t="s">
        <v>7</v>
      </c>
      <c r="K26" s="83" t="s">
        <v>7</v>
      </c>
      <c r="L26" s="83" t="s">
        <v>7</v>
      </c>
      <c r="M26" s="83" t="s">
        <v>7</v>
      </c>
      <c r="N26" s="83" t="s">
        <v>7</v>
      </c>
      <c r="O26" s="83" t="s">
        <v>7</v>
      </c>
      <c r="P26" s="83" t="s">
        <v>7</v>
      </c>
      <c r="Q26" s="83" t="s">
        <v>7</v>
      </c>
      <c r="R26" s="88" t="s">
        <v>92</v>
      </c>
    </row>
    <row r="27" spans="2:18" s="63" customFormat="1" x14ac:dyDescent="0.3"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</row>
    <row r="28" spans="2:18" s="63" customFormat="1" x14ac:dyDescent="0.3"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</row>
    <row r="29" spans="2:18" s="63" customFormat="1" x14ac:dyDescent="0.3"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  <c r="R29" s="75"/>
    </row>
    <row r="30" spans="2:18" s="63" customFormat="1" x14ac:dyDescent="0.3"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5"/>
      <c r="Q30" s="75"/>
      <c r="R30" s="75"/>
    </row>
    <row r="31" spans="2:18" s="63" customFormat="1" x14ac:dyDescent="0.3"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  <c r="N31" s="75"/>
      <c r="O31" s="75"/>
      <c r="P31" s="75"/>
      <c r="Q31" s="75"/>
      <c r="R31" s="75"/>
    </row>
    <row r="32" spans="2:18" s="63" customFormat="1" x14ac:dyDescent="0.3"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  <c r="R32" s="75"/>
    </row>
    <row r="33" spans="3:18" s="63" customFormat="1" x14ac:dyDescent="0.3"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5"/>
      <c r="Q33" s="75"/>
      <c r="R33" s="75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Patcher</vt:lpstr>
      <vt:lpstr>Custom DV</vt:lpstr>
      <vt:lpstr>Custom EDID-LS10500</vt:lpstr>
      <vt:lpstr>Custom EDID-VAVA</vt:lpstr>
      <vt:lpstr>Custom EDID-LS12000</vt:lpstr>
      <vt:lpstr>Custom EDID-JVC-RS400</vt:lpstr>
      <vt:lpstr>Custom EDID-Formovie T1</vt:lpstr>
      <vt:lpstr>Custom EDID-EpsonDH</vt:lpstr>
      <vt:lpstr>Custom EDID-LG HU810</vt:lpstr>
      <vt:lpstr>Custom EDID-Template</vt:lpstr>
      <vt:lpstr>EDID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xnappo</cp:lastModifiedBy>
  <dcterms:created xsi:type="dcterms:W3CDTF">2022-09-23T12:57:39Z</dcterms:created>
  <dcterms:modified xsi:type="dcterms:W3CDTF">2022-11-22T16:26:56Z</dcterms:modified>
</cp:coreProperties>
</file>