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"/>
    </mc:Choice>
  </mc:AlternateContent>
  <xr:revisionPtr revIDLastSave="0" documentId="13_ncr:1_{A1D2B5E7-BC58-4F57-8121-D532D15EC784}" xr6:coauthVersionLast="47" xr6:coauthVersionMax="47" xr10:uidLastSave="{00000000-0000-0000-0000-000000000000}"/>
  <bookViews>
    <workbookView xWindow="2673" yWindow="2788" windowWidth="41932" windowHeight="17453" xr2:uid="{DE808AFE-8AFE-4111-8161-9EF8B03B2A2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H8" i="1"/>
  <c r="G9" i="1"/>
  <c r="F10" i="1"/>
  <c r="H12" i="1"/>
  <c r="F9" i="1"/>
  <c r="E8" i="1"/>
  <c r="D9" i="1"/>
  <c r="H9" i="1"/>
  <c r="G10" i="1"/>
  <c r="F11" i="1"/>
  <c r="E10" i="1"/>
  <c r="H11" i="1"/>
  <c r="F8" i="1"/>
  <c r="E9" i="1"/>
  <c r="D10" i="1"/>
  <c r="H10" i="1"/>
  <c r="F12" i="1"/>
  <c r="G8" i="1"/>
  <c r="C10" i="1"/>
  <c r="C9" i="1"/>
  <c r="C8" i="1"/>
  <c r="G7" i="1" a="1"/>
  <c r="E7" i="1" a="1"/>
  <c r="D7" i="1" a="1"/>
  <c r="C7" i="1" a="1"/>
  <c r="G7" i="1" l="1"/>
  <c r="E7" i="1"/>
  <c r="D7" i="1"/>
  <c r="C7" i="1"/>
  <c r="G11" i="1"/>
  <c r="G12" i="1"/>
  <c r="C11" i="1"/>
  <c r="C12" i="1"/>
  <c r="E12" i="1"/>
  <c r="E11" i="1"/>
  <c r="D11" i="1"/>
  <c r="D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<sst xmlns="http://schemas.openxmlformats.org/spreadsheetml/2006/main" count="14" uniqueCount="14">
  <si>
    <t>DV String</t>
  </si>
  <si>
    <t>EDID Checksum</t>
  </si>
  <si>
    <r>
      <t>EB0146D0004507</t>
    </r>
    <r>
      <rPr>
        <b/>
        <sz val="11"/>
        <color theme="1"/>
        <rFont val="Consolas"/>
        <family val="3"/>
      </rPr>
      <t>41</t>
    </r>
    <r>
      <rPr>
        <sz val="11"/>
        <color theme="1"/>
        <rFont val="Consolas"/>
        <family val="3"/>
      </rPr>
      <t>5798A953</t>
    </r>
  </si>
  <si>
    <r>
      <t>EB0146D0004507</t>
    </r>
    <r>
      <rPr>
        <b/>
        <sz val="11"/>
        <color theme="1"/>
        <rFont val="Consolas"/>
        <family val="3"/>
      </rPr>
      <t>29</t>
    </r>
    <r>
      <rPr>
        <sz val="11"/>
        <color theme="1"/>
        <rFont val="Consolas"/>
        <family val="3"/>
      </rPr>
      <t>5798A953</t>
    </r>
  </si>
  <si>
    <r>
      <t>EB0146D0004507</t>
    </r>
    <r>
      <rPr>
        <b/>
        <sz val="11"/>
        <color theme="1"/>
        <rFont val="Consolas"/>
        <family val="3"/>
      </rPr>
      <t>49</t>
    </r>
    <r>
      <rPr>
        <sz val="11"/>
        <color theme="1"/>
        <rFont val="Consolas"/>
        <family val="3"/>
      </rPr>
      <t>5798A953</t>
    </r>
  </si>
  <si>
    <r>
      <t>EB0146D0004507</t>
    </r>
    <r>
      <rPr>
        <b/>
        <sz val="11"/>
        <color theme="1"/>
        <rFont val="Consolas"/>
        <family val="3"/>
      </rPr>
      <t>61</t>
    </r>
    <r>
      <rPr>
        <sz val="11"/>
        <color theme="1"/>
        <rFont val="Consolas"/>
        <family val="3"/>
      </rPr>
      <t>5798A953</t>
    </r>
  </si>
  <si>
    <r>
      <t>EB0146D0004507</t>
    </r>
    <r>
      <rPr>
        <b/>
        <sz val="11"/>
        <color theme="1"/>
        <rFont val="Consolas"/>
        <family val="3"/>
      </rPr>
      <t>71</t>
    </r>
    <r>
      <rPr>
        <sz val="11"/>
        <color theme="1"/>
        <rFont val="Consolas"/>
        <family val="3"/>
      </rPr>
      <t>5798A953</t>
    </r>
  </si>
  <si>
    <r>
      <t>EB0146D0004507</t>
    </r>
    <r>
      <rPr>
        <b/>
        <sz val="11"/>
        <color theme="1"/>
        <rFont val="Consolas"/>
        <family val="3"/>
      </rPr>
      <t>81</t>
    </r>
    <r>
      <rPr>
        <sz val="11"/>
        <color theme="1"/>
        <rFont val="Consolas"/>
        <family val="3"/>
      </rPr>
      <t>5798A953</t>
    </r>
  </si>
  <si>
    <t>Max Lum</t>
  </si>
  <si>
    <t>72C0</t>
  </si>
  <si>
    <t>72D0</t>
  </si>
  <si>
    <t>74A0</t>
  </si>
  <si>
    <t>8990</t>
  </si>
  <si>
    <t>8A90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</si>
</sst>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5:H26"/>
  <sheetViews>
    <sheetView tabSelected="1" workbookViewId="0">
      <selection activeCell="D22" sqref="D22"/>
    </sheetView>
  </sheetViews>
  <sheetFormatPr defaultRowHeight="14.4" x14ac:dyDescent="0.3"/>
  <cols>
    <col min="2" max="2" width="14.3984375" customWidth="1"/>
    <col min="3" max="8" width="44.3984375" customWidth="1"/>
  </cols>
  <sheetData>
    <row r="5" spans="2:8" x14ac:dyDescent="0.3">
      <c r="B5" s="1" t="s">
        <v>8</v>
      </c>
      <c r="C5" s="3">
        <v>200</v>
      </c>
      <c r="D5" s="3">
        <v>300</v>
      </c>
      <c r="E5" s="3">
        <v>400</v>
      </c>
      <c r="F5" s="3">
        <v>600</v>
      </c>
      <c r="G5" s="3">
        <v>800</v>
      </c>
      <c r="H5" s="3">
        <v>1000</v>
      </c>
    </row>
    <row r="6" spans="2:8" x14ac:dyDescent="0.3">
      <c r="B6" s="1" t="s">
        <v>0</v>
      </c>
      <c r="C6" s="3" t="s">
        <v>3</v>
      </c>
      <c r="D6" s="3" t="s">
        <v>2</v>
      </c>
      <c r="E6" s="3" t="s">
        <v>4</v>
      </c>
      <c r="F6" s="3" t="s">
        <v>5</v>
      </c>
      <c r="G6" s="3" t="s">
        <v>6</v>
      </c>
      <c r="H6" s="3" t="s">
        <v>7</v>
      </c>
    </row>
    <row r="7" spans="2:8" x14ac:dyDescent="0.3">
      <c r="B7" s="1" t="s">
        <v>1</v>
      </c>
      <c r="C7" s="3" t="str" cm="1">
        <f t="array" ref="C7">EDIDCheckSum(C6)</f>
        <v>78</v>
      </c>
      <c r="D7" s="3" t="str" cm="1">
        <f t="array" ref="D7">EDIDCheckSum(D6)</f>
        <v>60</v>
      </c>
      <c r="E7" s="3" t="str" cm="1">
        <f t="array" ref="E7">EDIDCheckSum(E6)</f>
        <v>58</v>
      </c>
      <c r="F7" s="1">
        <v>40</v>
      </c>
      <c r="G7" s="3" t="str" cm="1">
        <f t="array" ref="G7">EDIDCheckSum(G6)</f>
        <v>30</v>
      </c>
      <c r="H7" s="1">
        <v>20</v>
      </c>
    </row>
    <row r="8" spans="2:8" x14ac:dyDescent="0.3">
      <c r="B8" s="1" t="s">
        <v>9</v>
      </c>
      <c r="C8" s="1" t="str">
        <f>_xlfn.CONCAT(":1072C000024600207047",LEFT(C$6,20),IntelHexChecksum(_xlfn.CONCAT("1072C000024600207047",LEFT(C$6,20))))</f>
        <v>:1072C000024600207047EB0146D000450729579839</v>
      </c>
      <c r="D8" s="1" t="str">
        <f t="shared" ref="D8:H8" si="0">_xlfn.CONCAT(":1072C000024600207047",LEFT(D$6,20),IntelHexChecksum(_xlfn.CONCAT("1072C000024600207047",LEFT(D$6,20))))</f>
        <v>:1072C000024600207047EB0146D000450741579821</v>
      </c>
      <c r="E8" s="1" t="str">
        <f t="shared" si="0"/>
        <v>:1072C000024600207047EB0146D000450749579819</v>
      </c>
      <c r="F8" s="1" t="str">
        <f t="shared" si="0"/>
        <v>:1072C000024600207047EB0146D000450761579801</v>
      </c>
      <c r="G8" s="1" t="str">
        <f t="shared" si="0"/>
        <v>:1072C000024600207047EB0146D0004507715798F1</v>
      </c>
      <c r="H8" s="1" t="str">
        <f t="shared" si="0"/>
        <v>:1072C000024600207047EB0146D0004507815798E1</v>
      </c>
    </row>
    <row r="9" spans="2:8" x14ac:dyDescent="0.3">
      <c r="B9" s="1" t="s">
        <v>10</v>
      </c>
      <c r="C9" s="1" t="str">
        <f>_xlfn.CONCAT(":1072D000",RIGHT(C$6,4),"00FFFFFFFFFFFF004C2D010C0100",IntelHexChecksum(_xlfn.CONCAT("1072D000",RIGHT(C$6,4),"00FFFFFFFFFFFF004C2D010C0100")))</f>
        <v>:1072D000A95300FFFFFFFFFFFF004C2D010C010031</v>
      </c>
      <c r="D9" s="1" t="str">
        <f t="shared" ref="D9:H9" si="1">_xlfn.CONCAT(":1072D000",RIGHT(D$6,4),"00FFFFFFFFFFFF004C2D010C0100",IntelHexChecksum(_xlfn.CONCAT("1072D000",RIGHT(D$6,4),"00FFFFFFFFFFFF004C2D010C0100")))</f>
        <v>:1072D000A95300FFFFFFFFFFFF004C2D010C010031</v>
      </c>
      <c r="E9" s="1" t="str">
        <f t="shared" si="1"/>
        <v>:1072D000A95300FFFFFFFFFFFF004C2D010C010031</v>
      </c>
      <c r="F9" s="1" t="str">
        <f t="shared" si="1"/>
        <v>:1072D000A95300FFFFFFFFFFFF004C2D010C010031</v>
      </c>
      <c r="G9" s="1" t="str">
        <f t="shared" si="1"/>
        <v>:1072D000A95300FFFFFFFFFFFF004C2D010C010031</v>
      </c>
      <c r="H9" s="1" t="str">
        <f t="shared" si="1"/>
        <v>:1072D000A95300FFFFFFFFFFFF004C2D010C010031</v>
      </c>
    </row>
    <row r="10" spans="2:8" x14ac:dyDescent="0.3">
      <c r="B10" s="2" t="s">
        <v>11</v>
      </c>
      <c r="C10" s="1" t="str">
        <f>_xlfn.CONCAT(":1074A000060501",C$6,"8C",IntelHexChecksum(_xlfn.CONCAT("1074A000060501",C$6,"8C")))</f>
        <v>:1074A000060501EB0146D0004507295798A9538CE2</v>
      </c>
      <c r="D10" s="1" t="str">
        <f t="shared" ref="D10:H10" si="2">_xlfn.CONCAT(":1074A000060501",D$6,"8C",IntelHexChecksum(_xlfn.CONCAT("1074A000060501",D$6,"8C")))</f>
        <v>:1074A000060501EB0146D0004507415798A9538CCA</v>
      </c>
      <c r="E10" s="1" t="str">
        <f t="shared" si="2"/>
        <v>:1074A000060501EB0146D0004507495798A9538CC2</v>
      </c>
      <c r="F10" s="1" t="str">
        <f t="shared" si="2"/>
        <v>:1074A000060501EB0146D0004507615798A9538CAA</v>
      </c>
      <c r="G10" s="1" t="str">
        <f t="shared" si="2"/>
        <v>:1074A000060501EB0146D0004507715798A9538C9A</v>
      </c>
      <c r="H10" s="1" t="str">
        <f t="shared" si="2"/>
        <v>:1074A000060501EB0146D0004507815798A9538C8A</v>
      </c>
    </row>
    <row r="11" spans="2:8" x14ac:dyDescent="0.3">
      <c r="B11" s="2" t="s">
        <v>12</v>
      </c>
      <c r="C11" s="1" t="str">
        <f>_xlfn.CONCAT(":10899000000000000000",C$7,"0605018C0AD08A20E0",IntelHexChecksum((_xlfn.CONCAT("10899000000000000000",C$7,"0605018C0AD08A20E0"))))</f>
        <v>:10899000000000000000780605018C0AD08A20E063</v>
      </c>
      <c r="D11" s="1" t="str">
        <f t="shared" ref="D11:H11" si="3">_xlfn.CONCAT(":10899000000000000000",D$7,"0605018C0AD08A20E0",IntelHexChecksum((_xlfn.CONCAT("10899000000000000000",D$7,"0605018C0AD08A20E0"))))</f>
        <v>:10899000000000000000600605018C0AD08A20E07B</v>
      </c>
      <c r="E11" s="1" t="str">
        <f t="shared" si="3"/>
        <v>:10899000000000000000580605018C0AD08A20E083</v>
      </c>
      <c r="F11" s="1" t="str">
        <f t="shared" si="3"/>
        <v>:10899000000000000000400605018C0AD08A20E09B</v>
      </c>
      <c r="G11" s="1" t="str">
        <f t="shared" si="3"/>
        <v>:10899000000000000000300605018C0AD08A20E0AB</v>
      </c>
      <c r="H11" s="1" t="str">
        <f t="shared" si="3"/>
        <v>:10899000000000000000200605018C0AD08A20E0BB</v>
      </c>
    </row>
    <row r="12" spans="2:8" x14ac:dyDescent="0.3">
      <c r="B12" s="1" t="s">
        <v>13</v>
      </c>
      <c r="C12" s="1" t="str">
        <f>_xlfn.CONCAT(":108A9000201820282038200000000000000000",C$7,IntelHexChecksum(_xlfn.CONCAT("108A9000201820282038200000000000000000",C$7)))</f>
        <v>:108A90002018202820382000000000000000007866</v>
      </c>
      <c r="D12" s="1" t="str">
        <f t="shared" ref="D12:H12" si="4">_xlfn.CONCAT(":108A9000201820282038200000000000000000",D$7,IntelHexChecksum(_xlfn.CONCAT("108A9000201820282038200000000000000000",D$7)))</f>
        <v>:108A9000201820282038200000000000000000607E</v>
      </c>
      <c r="E12" s="1" t="str">
        <f t="shared" si="4"/>
        <v>:108A90002018202820382000000000000000005886</v>
      </c>
      <c r="F12" s="1" t="str">
        <f t="shared" si="4"/>
        <v>:108A9000201820282038200000000000000000409E</v>
      </c>
      <c r="G12" s="1" t="str">
        <f t="shared" si="4"/>
        <v>:108A900020182028203820000000000000000030AE</v>
      </c>
      <c r="H12" s="1" t="str">
        <f t="shared" si="4"/>
        <v>:108A900020182028203820000000000000000020BE</v>
      </c>
    </row>
    <row r="14" spans="2:8" x14ac:dyDescent="0.3">
      <c r="C14" s="1"/>
      <c r="D14" s="1"/>
      <c r="E14" s="1"/>
    </row>
    <row r="20" spans="3:3" x14ac:dyDescent="0.3">
      <c r="C20" s="1"/>
    </row>
    <row r="22" spans="3:3" x14ac:dyDescent="0.3">
      <c r="C22" s="1"/>
    </row>
    <row r="24" spans="3:3" x14ac:dyDescent="0.3">
      <c r="C24" s="1"/>
    </row>
    <row r="26" spans="3:3" x14ac:dyDescent="0.3">
      <c r="C26" s="1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2022-09-24T15:37:06Z</dcterms:modified>
</cp:coreProperties>
</file>