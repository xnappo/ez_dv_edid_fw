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73266010-B845-47BD-AD4D-A6AA06C1AC9D}" xr6:coauthVersionLast="47" xr6:coauthVersionMax="47" xr10:uidLastSave="{00000000-0000-0000-0000-000000000000}"/>
  <bookViews>
    <workbookView xWindow="4827" yWindow="2304" windowWidth="41933" windowHeight="17453" xr2:uid="{DE808AFE-8AFE-4111-8161-9EF8B03B2A2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3" i="1" l="1"/>
  <c r="AD5" i="1" s="1"/>
  <c r="AE3" i="1"/>
  <c r="AF3" i="1"/>
  <c r="AG3" i="1"/>
  <c r="AH3" i="1"/>
  <c r="AH5" i="1" s="1"/>
  <c r="AE5" i="1"/>
  <c r="AF5" i="1"/>
  <c r="AG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D6" i="1" a="1"/>
  <c r="F6" i="1" a="1"/>
  <c r="H6" i="1" a="1"/>
  <c r="J6" i="1" a="1"/>
  <c r="L6" i="1" a="1"/>
  <c r="N6" i="1" a="1"/>
  <c r="P6" i="1" a="1"/>
  <c r="R6" i="1" a="1"/>
  <c r="T6" i="1" a="1"/>
  <c r="V6" i="1" a="1"/>
  <c r="X6" i="1" a="1"/>
  <c r="Z6" i="1" a="1"/>
  <c r="AB6" i="1" a="1"/>
  <c r="AD6" i="1" a="1"/>
  <c r="AF6" i="1" a="1"/>
  <c r="AH6" i="1" a="1"/>
  <c r="U6" i="1" a="1"/>
  <c r="AC6" i="1" a="1"/>
  <c r="AG6" i="1" a="1"/>
  <c r="G6" i="1" a="1"/>
  <c r="Y6" i="1" a="1"/>
  <c r="E6" i="1" a="1"/>
  <c r="I6" i="1" a="1"/>
  <c r="K6" i="1" a="1"/>
  <c r="M6" i="1" a="1"/>
  <c r="O6" i="1" a="1"/>
  <c r="Q6" i="1" a="1"/>
  <c r="S6" i="1" a="1"/>
  <c r="W6" i="1" a="1"/>
  <c r="AA6" i="1" a="1"/>
  <c r="AE6" i="1" a="1"/>
  <c r="AG8" i="1"/>
  <c r="AG9" i="1"/>
  <c r="AF9" i="1"/>
  <c r="AG7" i="1"/>
  <c r="AF8" i="1"/>
  <c r="AF4" i="1" a="1"/>
  <c r="AG4" i="1" a="1"/>
  <c r="AE7" i="1"/>
  <c r="J8" i="1"/>
  <c r="V8" i="1"/>
  <c r="N4" i="1" a="1"/>
  <c r="V4" i="1" a="1"/>
  <c r="N9" i="1"/>
  <c r="V9" i="1"/>
  <c r="J7" i="1"/>
  <c r="N7" i="1"/>
  <c r="R7" i="1"/>
  <c r="V7" i="1"/>
  <c r="Z7" i="1"/>
  <c r="N8" i="1"/>
  <c r="R8" i="1"/>
  <c r="Z8" i="1"/>
  <c r="J4" i="1" a="1"/>
  <c r="R4" i="1" a="1"/>
  <c r="Z4" i="1" a="1"/>
  <c r="J9" i="1"/>
  <c r="R9" i="1"/>
  <c r="Z9" i="1"/>
  <c r="I7" i="1"/>
  <c r="Y7" i="1"/>
  <c r="M7" i="1"/>
  <c r="AC7" i="1"/>
  <c r="Q7" i="1"/>
  <c r="U7" i="1"/>
  <c r="D4" i="1" a="1"/>
  <c r="F4" i="1" a="1"/>
  <c r="H4" i="1" a="1"/>
  <c r="E4" i="1" a="1"/>
  <c r="G4" i="1" a="1"/>
  <c r="C4" i="1" a="1"/>
  <c r="D7" i="1"/>
  <c r="H7" i="1"/>
  <c r="G8" i="1"/>
  <c r="F9" i="1"/>
  <c r="F8" i="1"/>
  <c r="E7" i="1"/>
  <c r="D8" i="1"/>
  <c r="H8" i="1"/>
  <c r="G9" i="1"/>
  <c r="E9" i="1"/>
  <c r="F7" i="1"/>
  <c r="E8" i="1"/>
  <c r="D9" i="1"/>
  <c r="H9" i="1"/>
  <c r="G7" i="1"/>
  <c r="C9" i="1"/>
  <c r="C8" i="1"/>
  <c r="C7" i="1"/>
  <c r="C6" i="1" a="1"/>
  <c r="AE6" i="1" l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AG4" i="1"/>
  <c r="AF4" i="1"/>
  <c r="Z4" i="1"/>
  <c r="R4" i="1"/>
  <c r="J4" i="1"/>
  <c r="V4" i="1"/>
  <c r="N4" i="1"/>
  <c r="G4" i="1"/>
  <c r="E4" i="1"/>
  <c r="H4" i="1"/>
  <c r="F4" i="1"/>
  <c r="D4" i="1"/>
  <c r="C4" i="1"/>
  <c r="C6" i="1"/>
  <c r="AE10" i="1"/>
  <c r="AE11" i="1"/>
  <c r="Q10" i="1"/>
  <c r="Q11" i="1"/>
  <c r="I10" i="1"/>
  <c r="I11" i="1"/>
  <c r="AG11" i="1"/>
  <c r="AG10" i="1"/>
  <c r="AF11" i="1"/>
  <c r="AF10" i="1"/>
  <c r="X11" i="1"/>
  <c r="X10" i="1"/>
  <c r="P11" i="1"/>
  <c r="P10" i="1"/>
  <c r="H10" i="1"/>
  <c r="H11" i="1"/>
  <c r="AA10" i="1"/>
  <c r="AA11" i="1"/>
  <c r="O11" i="1"/>
  <c r="O10" i="1"/>
  <c r="AC10" i="1"/>
  <c r="AC11" i="1"/>
  <c r="AD10" i="1"/>
  <c r="AD11" i="1"/>
  <c r="V11" i="1"/>
  <c r="V10" i="1"/>
  <c r="N11" i="1"/>
  <c r="N10" i="1"/>
  <c r="F11" i="1"/>
  <c r="F10" i="1"/>
  <c r="W11" i="1"/>
  <c r="W10" i="1"/>
  <c r="M10" i="1"/>
  <c r="M11" i="1"/>
  <c r="Y10" i="1"/>
  <c r="Y11" i="1"/>
  <c r="U10" i="1"/>
  <c r="U11" i="1"/>
  <c r="AB10" i="1"/>
  <c r="AB11" i="1"/>
  <c r="T10" i="1"/>
  <c r="T11" i="1"/>
  <c r="L10" i="1"/>
  <c r="L11" i="1"/>
  <c r="S10" i="1"/>
  <c r="S11" i="1"/>
  <c r="K10" i="1"/>
  <c r="K11" i="1"/>
  <c r="AH11" i="1"/>
  <c r="AH10" i="1"/>
  <c r="Z11" i="1"/>
  <c r="Z10" i="1"/>
  <c r="R11" i="1"/>
  <c r="R10" i="1"/>
  <c r="J11" i="1"/>
  <c r="J10" i="1"/>
  <c r="AH8" i="1"/>
  <c r="AD8" i="1"/>
  <c r="AE8" i="1"/>
  <c r="AD9" i="1"/>
  <c r="AF7" i="1"/>
  <c r="AE9" i="1"/>
  <c r="AH4" i="1" a="1"/>
  <c r="AE4" i="1" a="1"/>
  <c r="AH9" i="1"/>
  <c r="AH7" i="1"/>
  <c r="AD7" i="1"/>
  <c r="AD4" i="1" a="1"/>
  <c r="AB7" i="1"/>
  <c r="T9" i="1"/>
  <c r="L9" i="1"/>
  <c r="W8" i="1"/>
  <c r="AB8" i="1"/>
  <c r="T8" i="1"/>
  <c r="L8" i="1"/>
  <c r="W9" i="1"/>
  <c r="S9" i="1"/>
  <c r="K9" i="1"/>
  <c r="X8" i="1"/>
  <c r="P8" i="1"/>
  <c r="AA9" i="1"/>
  <c r="O9" i="1"/>
  <c r="Y9" i="1"/>
  <c r="U8" i="1"/>
  <c r="AC4" i="1" a="1"/>
  <c r="M4" i="1" a="1"/>
  <c r="M9" i="1"/>
  <c r="K8" i="1"/>
  <c r="P9" i="1"/>
  <c r="O7" i="1"/>
  <c r="Q8" i="1"/>
  <c r="I4" i="1" a="1"/>
  <c r="AB9" i="1"/>
  <c r="T7" i="1"/>
  <c r="W4" i="1" a="1"/>
  <c r="K4" i="1" a="1"/>
  <c r="P4" i="1" a="1"/>
  <c r="O4" i="1" a="1"/>
  <c r="M8" i="1"/>
  <c r="AC9" i="1"/>
  <c r="K7" i="1"/>
  <c r="P7" i="1"/>
  <c r="O8" i="1"/>
  <c r="I8" i="1"/>
  <c r="U9" i="1"/>
  <c r="AB4" i="1" a="1"/>
  <c r="T4" i="1" a="1"/>
  <c r="L4" i="1" a="1"/>
  <c r="W7" i="1"/>
  <c r="S8" i="1"/>
  <c r="X7" i="1"/>
  <c r="AA8" i="1"/>
  <c r="Q9" i="1"/>
  <c r="Y4" i="1" a="1"/>
  <c r="I9" i="1"/>
  <c r="L7" i="1"/>
  <c r="S4" i="1" a="1"/>
  <c r="X9" i="1"/>
  <c r="AA4" i="1" a="1"/>
  <c r="AC8" i="1"/>
  <c r="U4" i="1" a="1"/>
  <c r="S7" i="1"/>
  <c r="X4" i="1" a="1"/>
  <c r="AA7" i="1"/>
  <c r="Y8" i="1"/>
  <c r="Q4" i="1" a="1"/>
  <c r="G10" i="1"/>
  <c r="G11" i="1"/>
  <c r="C10" i="1"/>
  <c r="C11" i="1"/>
  <c r="E11" i="1"/>
  <c r="E10" i="1"/>
  <c r="D10" i="1"/>
  <c r="D11" i="1"/>
  <c r="AD4" i="1" l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<sst xmlns="http://schemas.openxmlformats.org/spreadsheetml/2006/main" count="10" uniqueCount="10">
  <si>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DV String</t>
  </si>
  <si>
    <t>EDID Checksum</t>
  </si>
  <si>
    <t>Max Lum</t>
  </si>
  <si>
    <t>Max Lum #</t>
  </si>
  <si>
    <t>Max Lum DVVal</t>
  </si>
  <si>
    <t>Patch 72C0</t>
  </si>
  <si>
    <t>Patch 72D0</t>
  </si>
  <si>
    <t>Patch 74A0</t>
  </si>
  <si>
    <t>Patch 8990</t>
  </si>
  <si>
    <t>Patch 8A90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</si>
</sst>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5"/>
  <sheetViews>
    <sheetView tabSelected="1" workbookViewId="0">
      <selection activeCell="D34" sqref="D34"/>
    </sheetView>
  </sheetViews>
  <sheetFormatPr defaultRowHeight="14.4" x14ac:dyDescent="0.3"/>
  <cols>
    <col min="2" max="2" width="17.5" customWidth="1"/>
    <col min="3" max="8" width="44.39843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1" t="s">
        <v>5</v>
      </c>
      <c r="C7" s="1" t="str">
        <f>_xlfn.CONCAT(":1072C000024600207047",LEFT(C$5,20),IntelHexChecksum(_xlfn.CONCAT("1072C000024600207047",LEFT(C$5,20))))</f>
        <v>:1072C000024600207047EB0146D000450701579861</v>
      </c>
      <c r="D7" s="1" t="str">
        <f t="shared" ref="D7:AH7" si="2">_xlfn.CONCAT(":1072C000024600207047",LEFT(D$5,20),IntelHexChecksum(_xlfn.CONCAT("1072C000024600207047",LEFT(D$5,20))))</f>
        <v>:1072C000024600207047EB0146D000450709579859</v>
      </c>
      <c r="E7" s="1" t="str">
        <f t="shared" si="2"/>
        <v>:1072C000024600207047EB0146D000450711579851</v>
      </c>
      <c r="F7" s="1" t="str">
        <f t="shared" si="2"/>
        <v>:1072C000024600207047EB0146D000450719579849</v>
      </c>
      <c r="G7" s="1" t="str">
        <f t="shared" si="2"/>
        <v>:1072C000024600207047EB0146D000450721579841</v>
      </c>
      <c r="H7" s="1" t="str">
        <f t="shared" si="2"/>
        <v>:1072C000024600207047EB0146D000450729579839</v>
      </c>
      <c r="I7" s="1" t="str">
        <f t="shared" si="2"/>
        <v>:1072C000024600207047EB0146D000450731579831</v>
      </c>
      <c r="J7" s="1" t="str">
        <f t="shared" si="2"/>
        <v>:1072C000024600207047EB0146D000450739579829</v>
      </c>
      <c r="K7" s="1" t="str">
        <f t="shared" si="2"/>
        <v>:1072C000024600207047EB0146D000450741579821</v>
      </c>
      <c r="L7" s="1" t="str">
        <f t="shared" si="2"/>
        <v>:1072C000024600207047EB0146D000450749579819</v>
      </c>
      <c r="M7" s="1" t="str">
        <f t="shared" si="2"/>
        <v>:1072C000024600207047EB0146D000450751579811</v>
      </c>
      <c r="N7" s="1" t="str">
        <f t="shared" si="2"/>
        <v>:1072C000024600207047EB0146D000450759579809</v>
      </c>
      <c r="O7" s="1" t="str">
        <f t="shared" si="2"/>
        <v>:1072C000024600207047EB0146D000450761579801</v>
      </c>
      <c r="P7" s="1" t="str">
        <f t="shared" si="2"/>
        <v>:1072C000024600207047EB0146D0004507695798F9</v>
      </c>
      <c r="Q7" s="1" t="str">
        <f t="shared" si="2"/>
        <v>:1072C000024600207047EB0146D0004507715798F1</v>
      </c>
      <c r="R7" s="1" t="str">
        <f t="shared" si="2"/>
        <v>:1072C000024600207047EB0146D0004507795798E9</v>
      </c>
      <c r="S7" s="1" t="str">
        <f t="shared" si="2"/>
        <v>:1072C000024600207047EB0146D0004507815798E1</v>
      </c>
      <c r="T7" s="1" t="str">
        <f t="shared" si="2"/>
        <v>:1072C000024600207047EB0146D0004507895798D9</v>
      </c>
      <c r="U7" s="1" t="str">
        <f t="shared" si="2"/>
        <v>:1072C000024600207047EB0146D0004507915798D1</v>
      </c>
      <c r="V7" s="1" t="str">
        <f t="shared" si="2"/>
        <v>:1072C000024600207047EB0146D0004507995798C9</v>
      </c>
      <c r="W7" s="1" t="str">
        <f t="shared" si="2"/>
        <v>:1072C000024600207047EB0146D0004507A15798C1</v>
      </c>
      <c r="X7" s="1" t="str">
        <f t="shared" si="2"/>
        <v>:1072C000024600207047EB0146D0004507A95798B9</v>
      </c>
      <c r="Y7" s="1" t="str">
        <f t="shared" si="2"/>
        <v>:1072C000024600207047EB0146D0004507B15798B1</v>
      </c>
      <c r="Z7" s="1" t="str">
        <f t="shared" si="2"/>
        <v>:1072C000024600207047EB0146D0004507B95798A9</v>
      </c>
      <c r="AA7" s="1" t="str">
        <f t="shared" si="2"/>
        <v>:1072C000024600207047EB0146D0004507C15798A1</v>
      </c>
      <c r="AB7" s="1" t="str">
        <f t="shared" si="2"/>
        <v>:1072C000024600207047EB0146D0004507C9579899</v>
      </c>
      <c r="AC7" s="1" t="str">
        <f t="shared" si="2"/>
        <v>:1072C000024600207047EB0146D0004507D1579891</v>
      </c>
      <c r="AD7" s="1" t="str">
        <f t="shared" si="2"/>
        <v>:1072C000024600207047EB0146D0004507D9579889</v>
      </c>
      <c r="AE7" s="1" t="str">
        <f t="shared" si="2"/>
        <v>:1072C000024600207047EB0146D0004507E1579881</v>
      </c>
      <c r="AF7" s="1" t="str">
        <f t="shared" si="2"/>
        <v>:1072C000024600207047EB0146D0004507E9579879</v>
      </c>
      <c r="AG7" s="1" t="str">
        <f t="shared" si="2"/>
        <v>:1072C000024600207047EB0146D0004507F1579871</v>
      </c>
      <c r="AH7" s="1" t="str">
        <f t="shared" si="2"/>
        <v>:1072C000024600207047EB0146D0004507F9579869</v>
      </c>
    </row>
    <row r="8" spans="2:34" x14ac:dyDescent="0.3">
      <c r="B8" s="1" t="s">
        <v>6</v>
      </c>
      <c r="C8" s="1" t="str">
        <f>_xlfn.CONCAT(":1072D000",RIGHT(C$5,4),"00FFFFFFFFFFFF004C2D010C0100",IntelHexChecksum(_xlfn.CONCAT("1072D000",RIGHT(C$5,4),"00FFFFFFFFFFFF004C2D010C0100")))</f>
        <v>:1072D000A95300FFFFFFFFFFFF004C2D010C010031</v>
      </c>
      <c r="D8" s="1" t="str">
        <f t="shared" ref="D8:AH8" si="3">_xlfn.CONCAT(":1072D000",RIGHT(D$5,4),"00FFFFFFFFFFFF004C2D010C0100",IntelHexChecksum(_xlfn.CONCAT("1072D000",RIGHT(D$5,4),"00FFFFFFFFFFFF004C2D010C0100")))</f>
        <v>:1072D000A95300FFFFFFFFFFFF004C2D010C010031</v>
      </c>
      <c r="E8" s="1" t="str">
        <f t="shared" si="3"/>
        <v>:1072D000A95300FFFFFFFFFFFF004C2D010C010031</v>
      </c>
      <c r="F8" s="1" t="str">
        <f t="shared" si="3"/>
        <v>:1072D000A95300FFFFFFFFFFFF004C2D010C010031</v>
      </c>
      <c r="G8" s="1" t="str">
        <f t="shared" si="3"/>
        <v>:1072D000A95300FFFFFFFFFFFF004C2D010C010031</v>
      </c>
      <c r="H8" s="1" t="str">
        <f t="shared" si="3"/>
        <v>:1072D000A95300FFFFFFFFFFFF004C2D010C010031</v>
      </c>
      <c r="I8" s="1" t="str">
        <f t="shared" si="3"/>
        <v>:1072D000A95300FFFFFFFFFFFF004C2D010C010031</v>
      </c>
      <c r="J8" s="1" t="str">
        <f t="shared" si="3"/>
        <v>:1072D000A95300FFFFFFFFFFFF004C2D010C010031</v>
      </c>
      <c r="K8" s="1" t="str">
        <f t="shared" si="3"/>
        <v>:1072D000A95300FFFFFFFFFFFF004C2D010C010031</v>
      </c>
      <c r="L8" s="1" t="str">
        <f t="shared" si="3"/>
        <v>:1072D000A95300FFFFFFFFFFFF004C2D010C010031</v>
      </c>
      <c r="M8" s="1" t="str">
        <f t="shared" si="3"/>
        <v>:1072D000A95300FFFFFFFFFFFF004C2D010C010031</v>
      </c>
      <c r="N8" s="1" t="str">
        <f t="shared" si="3"/>
        <v>:1072D000A95300FFFFFFFFFFFF004C2D010C010031</v>
      </c>
      <c r="O8" s="1" t="str">
        <f t="shared" si="3"/>
        <v>:1072D000A95300FFFFFFFFFFFF004C2D010C010031</v>
      </c>
      <c r="P8" s="1" t="str">
        <f t="shared" si="3"/>
        <v>:1072D000A95300FFFFFFFFFFFF004C2D010C010031</v>
      </c>
      <c r="Q8" s="1" t="str">
        <f t="shared" si="3"/>
        <v>:1072D000A95300FFFFFFFFFFFF004C2D010C010031</v>
      </c>
      <c r="R8" s="1" t="str">
        <f t="shared" si="3"/>
        <v>:1072D000A95300FFFFFFFFFFFF004C2D010C010031</v>
      </c>
      <c r="S8" s="1" t="str">
        <f t="shared" si="3"/>
        <v>:1072D000A95300FFFFFFFFFFFF004C2D010C010031</v>
      </c>
      <c r="T8" s="1" t="str">
        <f t="shared" si="3"/>
        <v>:1072D000A95300FFFFFFFFFFFF004C2D010C010031</v>
      </c>
      <c r="U8" s="1" t="str">
        <f t="shared" si="3"/>
        <v>:1072D000A95300FFFFFFFFFFFF004C2D010C010031</v>
      </c>
      <c r="V8" s="1" t="str">
        <f t="shared" si="3"/>
        <v>:1072D000A95300FFFFFFFFFFFF004C2D010C010031</v>
      </c>
      <c r="W8" s="1" t="str">
        <f t="shared" si="3"/>
        <v>:1072D000A95300FFFFFFFFFFFF004C2D010C010031</v>
      </c>
      <c r="X8" s="1" t="str">
        <f t="shared" si="3"/>
        <v>:1072D000A95300FFFFFFFFFFFF004C2D010C010031</v>
      </c>
      <c r="Y8" s="1" t="str">
        <f t="shared" si="3"/>
        <v>:1072D000A95300FFFFFFFFFFFF004C2D010C010031</v>
      </c>
      <c r="Z8" s="1" t="str">
        <f t="shared" si="3"/>
        <v>:1072D000A95300FFFFFFFFFFFF004C2D010C010031</v>
      </c>
      <c r="AA8" s="1" t="str">
        <f t="shared" si="3"/>
        <v>:1072D000A95300FFFFFFFFFFFF004C2D010C010031</v>
      </c>
      <c r="AB8" s="1" t="str">
        <f t="shared" si="3"/>
        <v>:1072D000A95300FFFFFFFFFFFF004C2D010C010031</v>
      </c>
      <c r="AC8" s="1" t="str">
        <f t="shared" si="3"/>
        <v>:1072D000A95300FFFFFFFFFFFF004C2D010C010031</v>
      </c>
      <c r="AD8" s="1" t="str">
        <f t="shared" si="3"/>
        <v>:1072D000A95300FFFFFFFFFFFF004C2D010C010031</v>
      </c>
      <c r="AE8" s="1" t="str">
        <f t="shared" si="3"/>
        <v>:1072D000A95300FFFFFFFFFFFF004C2D010C010031</v>
      </c>
      <c r="AF8" s="1" t="str">
        <f t="shared" si="3"/>
        <v>:1072D000A95300FFFFFFFFFFFF004C2D010C010031</v>
      </c>
      <c r="AG8" s="1" t="str">
        <f t="shared" si="3"/>
        <v>:1072D000A95300FFFFFFFFFFFF004C2D010C010031</v>
      </c>
      <c r="AH8" s="1" t="str">
        <f t="shared" si="3"/>
        <v>:1072D000A95300FFFFFFFFFFFF004C2D010C010031</v>
      </c>
    </row>
    <row r="9" spans="2:34" x14ac:dyDescent="0.3">
      <c r="B9" s="2" t="s">
        <v>7</v>
      </c>
      <c r="C9" s="1" t="str">
        <f>_xlfn.CONCAT(":1074A000060501",C$5,"8C",IntelHexChecksum(_xlfn.CONCAT("1074A000060501",C$5,"8C")))</f>
        <v>:1074A000060501EB0146D0004507015798A9538C0A</v>
      </c>
      <c r="D9" s="1" t="str">
        <f t="shared" ref="D9:AH9" si="4">_xlfn.CONCAT(":1074A000060501",D$5,"8C",IntelHexChecksum(_xlfn.CONCAT("1074A000060501",D$5,"8C")))</f>
        <v>:1074A000060501EB0146D0004507095798A9538C02</v>
      </c>
      <c r="E9" s="1" t="str">
        <f t="shared" si="4"/>
        <v>:1074A000060501EB0146D0004507115798A9538CFA</v>
      </c>
      <c r="F9" s="1" t="str">
        <f t="shared" si="4"/>
        <v>:1074A000060501EB0146D0004507195798A9538CF2</v>
      </c>
      <c r="G9" s="1" t="str">
        <f t="shared" si="4"/>
        <v>:1074A000060501EB0146D0004507215798A9538CEA</v>
      </c>
      <c r="H9" s="1" t="str">
        <f t="shared" si="4"/>
        <v>:1074A000060501EB0146D0004507295798A9538CE2</v>
      </c>
      <c r="I9" s="1" t="str">
        <f t="shared" si="4"/>
        <v>:1074A000060501EB0146D0004507315798A9538CDA</v>
      </c>
      <c r="J9" s="1" t="str">
        <f t="shared" si="4"/>
        <v>:1074A000060501EB0146D0004507395798A9538CD2</v>
      </c>
      <c r="K9" s="1" t="str">
        <f t="shared" si="4"/>
        <v>:1074A000060501EB0146D0004507415798A9538CCA</v>
      </c>
      <c r="L9" s="1" t="str">
        <f t="shared" si="4"/>
        <v>:1074A000060501EB0146D0004507495798A9538CC2</v>
      </c>
      <c r="M9" s="1" t="str">
        <f t="shared" si="4"/>
        <v>:1074A000060501EB0146D0004507515798A9538CBA</v>
      </c>
      <c r="N9" s="1" t="str">
        <f t="shared" si="4"/>
        <v>:1074A000060501EB0146D0004507595798A9538CB2</v>
      </c>
      <c r="O9" s="1" t="str">
        <f t="shared" si="4"/>
        <v>:1074A000060501EB0146D0004507615798A9538CAA</v>
      </c>
      <c r="P9" s="1" t="str">
        <f t="shared" si="4"/>
        <v>:1074A000060501EB0146D0004507695798A9538CA2</v>
      </c>
      <c r="Q9" s="1" t="str">
        <f t="shared" si="4"/>
        <v>:1074A000060501EB0146D0004507715798A9538C9A</v>
      </c>
      <c r="R9" s="1" t="str">
        <f t="shared" si="4"/>
        <v>:1074A000060501EB0146D0004507795798A9538C92</v>
      </c>
      <c r="S9" s="1" t="str">
        <f t="shared" si="4"/>
        <v>:1074A000060501EB0146D0004507815798A9538C8A</v>
      </c>
      <c r="T9" s="1" t="str">
        <f t="shared" si="4"/>
        <v>:1074A000060501EB0146D0004507895798A9538C82</v>
      </c>
      <c r="U9" s="1" t="str">
        <f t="shared" si="4"/>
        <v>:1074A000060501EB0146D0004507915798A9538C7A</v>
      </c>
      <c r="V9" s="1" t="str">
        <f t="shared" si="4"/>
        <v>:1074A000060501EB0146D0004507995798A9538C72</v>
      </c>
      <c r="W9" s="1" t="str">
        <f t="shared" si="4"/>
        <v>:1074A000060501EB0146D0004507A15798A9538C6A</v>
      </c>
      <c r="X9" s="1" t="str">
        <f t="shared" si="4"/>
        <v>:1074A000060501EB0146D0004507A95798A9538C62</v>
      </c>
      <c r="Y9" s="1" t="str">
        <f t="shared" si="4"/>
        <v>:1074A000060501EB0146D0004507B15798A9538C5A</v>
      </c>
      <c r="Z9" s="1" t="str">
        <f t="shared" si="4"/>
        <v>:1074A000060501EB0146D0004507B95798A9538C52</v>
      </c>
      <c r="AA9" s="1" t="str">
        <f t="shared" si="4"/>
        <v>:1074A000060501EB0146D0004507C15798A9538C4A</v>
      </c>
      <c r="AB9" s="1" t="str">
        <f t="shared" si="4"/>
        <v>:1074A000060501EB0146D0004507C95798A9538C42</v>
      </c>
      <c r="AC9" s="1" t="str">
        <f t="shared" si="4"/>
        <v>:1074A000060501EB0146D0004507D15798A9538C3A</v>
      </c>
      <c r="AD9" s="1" t="str">
        <f t="shared" si="4"/>
        <v>:1074A000060501EB0146D0004507D95798A9538C32</v>
      </c>
      <c r="AE9" s="1" t="str">
        <f t="shared" si="4"/>
        <v>:1074A000060501EB0146D0004507E15798A9538C2A</v>
      </c>
      <c r="AF9" s="1" t="str">
        <f t="shared" si="4"/>
        <v>:1074A000060501EB0146D0004507E95798A9538C22</v>
      </c>
      <c r="AG9" s="1" t="str">
        <f t="shared" si="4"/>
        <v>:1074A000060501EB0146D0004507F15798A9538C1A</v>
      </c>
      <c r="AH9" s="1" t="str">
        <f t="shared" si="4"/>
        <v>:1074A000060501EB0146D0004507F95798A9538C12</v>
      </c>
    </row>
    <row r="10" spans="2:34" x14ac:dyDescent="0.3">
      <c r="B10" s="2" t="s">
        <v>8</v>
      </c>
      <c r="C10" s="1" t="str">
        <f>_xlfn.CONCAT(":10899000000000000000",C$6,"0605018C0AD08A20E0",IntelHexChecksum((_xlfn.CONCAT("10899000000000000000",C$6,"0605018C0AD08A20E0"))))</f>
        <v>:10899000000000000000A00605018C0AD08A20E03B</v>
      </c>
      <c r="D10" s="1" t="str">
        <f t="shared" ref="D10:AH10" si="5">_xlfn.CONCAT(":10899000000000000000",D$6,"0605018C0AD08A20E0",IntelHexChecksum((_xlfn.CONCAT("10899000000000000000",D$6,"0605018C0AD08A20E0"))))</f>
        <v>:10899000000000000000980605018C0AD08A20E043</v>
      </c>
      <c r="E10" s="1" t="str">
        <f t="shared" si="5"/>
        <v>:10899000000000000000900605018C0AD08A20E04B</v>
      </c>
      <c r="F10" s="1" t="str">
        <f t="shared" si="5"/>
        <v>:10899000000000000000880605018C0AD08A20E053</v>
      </c>
      <c r="G10" s="1" t="str">
        <f t="shared" si="5"/>
        <v>:10899000000000000000800605018C0AD08A20E05B</v>
      </c>
      <c r="H10" s="1" t="str">
        <f t="shared" si="5"/>
        <v>:10899000000000000000780605018C0AD08A20E063</v>
      </c>
      <c r="I10" s="1" t="str">
        <f t="shared" si="5"/>
        <v>:10899000000000000000700605018C0AD08A20E06B</v>
      </c>
      <c r="J10" s="1" t="str">
        <f t="shared" si="5"/>
        <v>:10899000000000000000680605018C0AD08A20E073</v>
      </c>
      <c r="K10" s="1" t="str">
        <f t="shared" si="5"/>
        <v>:10899000000000000000600605018C0AD08A20E07B</v>
      </c>
      <c r="L10" s="1" t="str">
        <f t="shared" si="5"/>
        <v>:10899000000000000000580605018C0AD08A20E083</v>
      </c>
      <c r="M10" s="1" t="str">
        <f t="shared" si="5"/>
        <v>:10899000000000000000500605018C0AD08A20E08B</v>
      </c>
      <c r="N10" s="1" t="str">
        <f t="shared" si="5"/>
        <v>:10899000000000000000480605018C0AD08A20E093</v>
      </c>
      <c r="O10" s="1" t="str">
        <f t="shared" si="5"/>
        <v>:10899000000000000000400605018C0AD08A20E09B</v>
      </c>
      <c r="P10" s="1" t="str">
        <f t="shared" si="5"/>
        <v>:10899000000000000000380605018C0AD08A20E0A3</v>
      </c>
      <c r="Q10" s="1" t="str">
        <f t="shared" si="5"/>
        <v>:10899000000000000000300605018C0AD08A20E0AB</v>
      </c>
      <c r="R10" s="1" t="str">
        <f t="shared" si="5"/>
        <v>:10899000000000000000280605018C0AD08A20E0B3</v>
      </c>
      <c r="S10" s="1" t="str">
        <f t="shared" si="5"/>
        <v>:10899000000000000000200605018C0AD08A20E0BB</v>
      </c>
      <c r="T10" s="1" t="str">
        <f t="shared" si="5"/>
        <v>:10899000000000000000180605018C0AD08A20E0C3</v>
      </c>
      <c r="U10" s="1" t="str">
        <f t="shared" si="5"/>
        <v>:10899000000000000000100605018C0AD08A20E0CB</v>
      </c>
      <c r="V10" s="1" t="str">
        <f t="shared" si="5"/>
        <v>:10899000000000000000080605018C0AD08A20E0D3</v>
      </c>
      <c r="W10" s="1" t="str">
        <f t="shared" si="5"/>
        <v>:10899000000000000000000605018C0AD08A20E0DB</v>
      </c>
      <c r="X10" s="1" t="str">
        <f t="shared" si="5"/>
        <v>:10899000000000000000F80605018C0AD08A20E0E3</v>
      </c>
      <c r="Y10" s="1" t="str">
        <f t="shared" si="5"/>
        <v>:10899000000000000000F00605018C0AD08A20E0EB</v>
      </c>
      <c r="Z10" s="1" t="str">
        <f t="shared" si="5"/>
        <v>:10899000000000000000E80605018C0AD08A20E0F3</v>
      </c>
      <c r="AA10" s="1" t="str">
        <f t="shared" si="5"/>
        <v>:10899000000000000000E00605018C0AD08A20E0FB</v>
      </c>
      <c r="AB10" s="1" t="str">
        <f t="shared" si="5"/>
        <v>:10899000000000000000D80605018C0AD08A20E003</v>
      </c>
      <c r="AC10" s="1" t="str">
        <f t="shared" si="5"/>
        <v>:10899000000000000000D00605018C0AD08A20E00B</v>
      </c>
      <c r="AD10" s="1" t="str">
        <f t="shared" si="5"/>
        <v>:10899000000000000000C80605018C0AD08A20E013</v>
      </c>
      <c r="AE10" s="1" t="str">
        <f t="shared" si="5"/>
        <v>:10899000000000000000C00605018C0AD08A20E01B</v>
      </c>
      <c r="AF10" s="1" t="str">
        <f t="shared" si="5"/>
        <v>:10899000000000000000B80605018C0AD08A20E023</v>
      </c>
      <c r="AG10" s="1" t="str">
        <f t="shared" si="5"/>
        <v>:10899000000000000000B00605018C0AD08A20E02B</v>
      </c>
      <c r="AH10" s="1" t="str">
        <f t="shared" si="5"/>
        <v>:10899000000000000000A80605018C0AD08A20E033</v>
      </c>
    </row>
    <row r="11" spans="2:34" x14ac:dyDescent="0.3">
      <c r="B11" s="1" t="s">
        <v>9</v>
      </c>
      <c r="C11" s="1" t="str">
        <f>_xlfn.CONCAT(":108A9000201820282038200000000000000000",C$6,IntelHexChecksum(_xlfn.CONCAT("108A9000201820282038200000000000000000",C$6)))</f>
        <v>:108A9000201820282038200000000000000000A03E</v>
      </c>
      <c r="D11" s="1" t="str">
        <f t="shared" ref="D11:AH11" si="6">_xlfn.CONCAT(":108A9000201820282038200000000000000000",D$6,IntelHexChecksum(_xlfn.CONCAT("108A9000201820282038200000000000000000",D$6)))</f>
        <v>:108A90002018202820382000000000000000009846</v>
      </c>
      <c r="E11" s="1" t="str">
        <f t="shared" si="6"/>
        <v>:108A9000201820282038200000000000000000904E</v>
      </c>
      <c r="F11" s="1" t="str">
        <f t="shared" si="6"/>
        <v>:108A90002018202820382000000000000000008856</v>
      </c>
      <c r="G11" s="1" t="str">
        <f t="shared" si="6"/>
        <v>:108A9000201820282038200000000000000000805E</v>
      </c>
      <c r="H11" s="1" t="str">
        <f t="shared" si="6"/>
        <v>:108A90002018202820382000000000000000007866</v>
      </c>
      <c r="I11" s="1" t="str">
        <f t="shared" si="6"/>
        <v>:108A9000201820282038200000000000000000706E</v>
      </c>
      <c r="J11" s="1" t="str">
        <f t="shared" si="6"/>
        <v>:108A90002018202820382000000000000000006876</v>
      </c>
      <c r="K11" s="1" t="str">
        <f t="shared" si="6"/>
        <v>:108A9000201820282038200000000000000000607E</v>
      </c>
      <c r="L11" s="1" t="str">
        <f t="shared" si="6"/>
        <v>:108A90002018202820382000000000000000005886</v>
      </c>
      <c r="M11" s="1" t="str">
        <f t="shared" si="6"/>
        <v>:108A9000201820282038200000000000000000508E</v>
      </c>
      <c r="N11" s="1" t="str">
        <f t="shared" si="6"/>
        <v>:108A90002018202820382000000000000000004896</v>
      </c>
      <c r="O11" s="1" t="str">
        <f t="shared" si="6"/>
        <v>:108A9000201820282038200000000000000000409E</v>
      </c>
      <c r="P11" s="1" t="str">
        <f t="shared" si="6"/>
        <v>:108A900020182028203820000000000000000038A6</v>
      </c>
      <c r="Q11" s="1" t="str">
        <f t="shared" si="6"/>
        <v>:108A900020182028203820000000000000000030AE</v>
      </c>
      <c r="R11" s="1" t="str">
        <f t="shared" si="6"/>
        <v>:108A900020182028203820000000000000000028B6</v>
      </c>
      <c r="S11" s="1" t="str">
        <f t="shared" si="6"/>
        <v>:108A900020182028203820000000000000000020BE</v>
      </c>
      <c r="T11" s="1" t="str">
        <f t="shared" si="6"/>
        <v>:108A900020182028203820000000000000000018C6</v>
      </c>
      <c r="U11" s="1" t="str">
        <f t="shared" si="6"/>
        <v>:108A900020182028203820000000000000000010CE</v>
      </c>
      <c r="V11" s="1" t="str">
        <f t="shared" si="6"/>
        <v>:108A900020182028203820000000000000000008D6</v>
      </c>
      <c r="W11" s="1" t="str">
        <f t="shared" si="6"/>
        <v>:108A900020182028203820000000000000000000DE</v>
      </c>
      <c r="X11" s="1" t="str">
        <f t="shared" si="6"/>
        <v>:108A9000201820282038200000000000000000F8E6</v>
      </c>
      <c r="Y11" s="1" t="str">
        <f t="shared" si="6"/>
        <v>:108A9000201820282038200000000000000000F0EE</v>
      </c>
      <c r="Z11" s="1" t="str">
        <f t="shared" si="6"/>
        <v>:108A9000201820282038200000000000000000E8F6</v>
      </c>
      <c r="AA11" s="1" t="str">
        <f t="shared" si="6"/>
        <v>:108A9000201820282038200000000000000000E0FE</v>
      </c>
      <c r="AB11" s="1" t="str">
        <f t="shared" si="6"/>
        <v>:108A9000201820282038200000000000000000D806</v>
      </c>
      <c r="AC11" s="1" t="str">
        <f t="shared" si="6"/>
        <v>:108A9000201820282038200000000000000000D00E</v>
      </c>
      <c r="AD11" s="1" t="str">
        <f t="shared" si="6"/>
        <v>:108A9000201820282038200000000000000000C816</v>
      </c>
      <c r="AE11" s="1" t="str">
        <f t="shared" si="6"/>
        <v>:108A9000201820282038200000000000000000C01E</v>
      </c>
      <c r="AF11" s="1" t="str">
        <f t="shared" si="6"/>
        <v>:108A9000201820282038200000000000000000B826</v>
      </c>
      <c r="AG11" s="1" t="str">
        <f t="shared" si="6"/>
        <v>:108A9000201820282038200000000000000000B02E</v>
      </c>
      <c r="AH11" s="1" t="str">
        <f t="shared" si="6"/>
        <v>:108A9000201820282038200000000000000000A836</v>
      </c>
    </row>
    <row r="13" spans="2:34" x14ac:dyDescent="0.3">
      <c r="C13" s="1"/>
      <c r="D13" s="1"/>
      <c r="E13" s="1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  <row r="42" spans="3:3" x14ac:dyDescent="0.3">
      <c r="C42" s="4"/>
    </row>
    <row r="43" spans="3:3" x14ac:dyDescent="0.3">
      <c r="C43" s="4"/>
    </row>
    <row r="44" spans="3:3" x14ac:dyDescent="0.3">
      <c r="C44" s="4"/>
    </row>
    <row r="45" spans="3:3" x14ac:dyDescent="0.3">
      <c r="C45" s="4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2022-09-24T19:27:49Z</dcterms:modified>
</cp:coreProperties>
</file>