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4A8C3B55-C467-41F2-B1B1-868E9D091397}" xr6:coauthVersionLast="47" xr6:coauthVersionMax="47" xr10:uidLastSave="{00000000-0000-0000-0000-000000000000}"/>
  <bookViews>
    <workbookView xWindow="2673" yWindow="2788" windowWidth="41932" windowHeight="17453" xr2:uid="{DE808AFE-8AFE-4111-8161-9EF8B03B2A2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1" l="1"/>
  <c r="G10" i="1"/>
  <c r="F10" i="1"/>
  <c r="E10" i="1"/>
  <c r="D10" i="1"/>
  <c r="C10" i="1"/>
  <c r="H9" i="1"/>
  <c r="G9" i="1"/>
  <c r="F9" i="1"/>
  <c r="E9" i="1"/>
  <c r="D9" i="1"/>
  <c r="C9" i="1"/>
  <c r="H8" i="1"/>
  <c r="G8" i="1"/>
  <c r="F8" i="1"/>
  <c r="E8" i="1"/>
  <c r="D8" i="1"/>
  <c r="C8" i="1"/>
  <c r="G7" i="1" a="1"/>
  <c r="E7" i="1" a="1"/>
  <c r="D7" i="1" a="1"/>
  <c r="C7" i="1" a="1"/>
  <c r="H15" i="1" a="1"/>
  <c r="F15" i="1" a="1"/>
  <c r="D15" i="1" a="1"/>
  <c r="H14" i="1" a="1"/>
  <c r="F14" i="1" a="1"/>
  <c r="D14" i="1" a="1"/>
  <c r="H13" i="1" a="1"/>
  <c r="F13" i="1" a="1"/>
  <c r="D13" i="1" a="1"/>
  <c r="G15" i="1" a="1"/>
  <c r="E15" i="1" a="1"/>
  <c r="C15" i="1" a="1"/>
  <c r="G14" i="1" a="1"/>
  <c r="E14" i="1" a="1"/>
  <c r="C14" i="1" a="1"/>
  <c r="G13" i="1" a="1"/>
  <c r="E13" i="1" a="1"/>
  <c r="C13" i="1" a="1"/>
  <c r="G7" i="1" l="1"/>
  <c r="E7" i="1"/>
  <c r="D7" i="1"/>
  <c r="C7" i="1"/>
  <c r="C13" i="1"/>
  <c r="E13" i="1"/>
  <c r="G13" i="1"/>
  <c r="C14" i="1"/>
  <c r="E14" i="1"/>
  <c r="G14" i="1"/>
  <c r="C15" i="1"/>
  <c r="E15" i="1"/>
  <c r="G15" i="1"/>
  <c r="D13" i="1"/>
  <c r="F13" i="1"/>
  <c r="H13" i="1"/>
  <c r="D14" i="1"/>
  <c r="F14" i="1"/>
  <c r="H14" i="1"/>
  <c r="D15" i="1"/>
  <c r="F15" i="1"/>
  <c r="H15" i="1"/>
  <c r="F12" i="1" l="1"/>
  <c r="F11" i="1"/>
  <c r="H12" i="1"/>
  <c r="H11" i="1"/>
  <c r="G11" i="1"/>
  <c r="G12" i="1"/>
  <c r="D12" i="1"/>
  <c r="D11" i="1"/>
  <c r="E11" i="1"/>
  <c r="E12" i="1"/>
  <c r="C11" i="1"/>
  <c r="C12" i="1"/>
  <c r="H17" i="1" a="1"/>
  <c r="D17" i="1" a="1"/>
  <c r="H16" i="1" a="1"/>
  <c r="D16" i="1" a="1"/>
  <c r="F17" i="1" a="1"/>
  <c r="G16" i="1" a="1"/>
  <c r="E16" i="1" a="1"/>
  <c r="F16" i="1" a="1"/>
  <c r="G17" i="1" a="1"/>
  <c r="E17" i="1" a="1"/>
  <c r="C17" i="1" a="1"/>
  <c r="C16" i="1" a="1"/>
  <c r="E17" i="1" l="1"/>
  <c r="G17" i="1"/>
  <c r="F16" i="1"/>
  <c r="E16" i="1"/>
  <c r="G16" i="1"/>
  <c r="F17" i="1"/>
  <c r="D16" i="1"/>
  <c r="H16" i="1"/>
  <c r="D17" i="1"/>
  <c r="H17" i="1"/>
  <c r="C16" i="1"/>
  <c r="C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<sst xmlns="http://schemas.openxmlformats.org/spreadsheetml/2006/main" count="19" uniqueCount="19">
  <si>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DV String</t>
  </si>
  <si>
    <t>EDID Checksum</t>
  </si>
  <si>
    <r>
      <t>EB0146D0004507</t>
    </r>
    <r>
      <rPr>
        <b/>
        <sz val="11"/>
        <color theme="1"/>
        <rFont val="Consolas"/>
        <family val="3"/>
      </rPr>
      <t>41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</si>
  <si>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29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</si>
  <si>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49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</si>
  <si>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61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</si>
  <si>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71</t>
    </r>
    <r>
      <rPr>
        <sz val="11"/>
        <color theme="1"/>
        <rFont val="Consolas"/>
        <family val="3"/>
      </rPr>
      <t>5798A953</t>
    </r>
  </si>
  <si>
    <r>
      <t>EB0146D0004507</t>
    </r>
    <r>
      <rPr>
        <b/>
        <sz val="11"/>
        <color theme="1"/>
        <rFont val="Consolas"/>
        <family val="3"/>
      </rPr>
      <t>81</t>
    </r>
    <r>
      <rPr>
        <sz val="11"/>
        <color theme="1"/>
        <rFont val="Consolas"/>
        <family val="3"/>
      </rPr>
      <t>5798A953</t>
    </r>
  </si>
  <si>
    <t>72C0 pre-checksum</t>
  </si>
  <si>
    <t>72D0 pre-checksum</t>
  </si>
  <si>
    <t>74A0 pre-checksum</t>
  </si>
  <si>
    <t>8990 pre-checksum</t>
  </si>
  <si>
    <t>8A90 pre-checksum</t>
  </si>
  <si>
    <t>72C0 post-checksum</t>
  </si>
  <si>
    <t>72D0 post-checksum</t>
  </si>
  <si>
    <t>74A0 post-checksum</t>
  </si>
  <si>
    <t>8990 post-checksum</t>
  </si>
  <si>
    <t>8A90 post-checksum</t>
  </si>
  <si>
    <t>Max 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</si>
</sst>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5:H19"/>
  <sheetViews>
    <sheetView tabSelected="1" workbookViewId="0">
      <selection activeCell="D32" sqref="D32"/>
    </sheetView>
  </sheetViews>
  <sheetFormatPr defaultRowHeight="14.4" x14ac:dyDescent="0.3"/>
  <cols>
    <col min="2" max="2" width="19.3984375" customWidth="1"/>
    <col min="3" max="8" width="44.3984375" customWidth="1"/>
  </cols>
  <sheetData>
    <row r="5" spans="2:8" x14ac:dyDescent="0.3">
      <c r="B5" s="1" t="s">
        <v>18</v>
      </c>
      <c r="C5" s="3">
        <v>200</v>
      </c>
      <c r="D5" s="3">
        <v>300</v>
      </c>
      <c r="E5" s="3">
        <v>400</v>
      </c>
      <c r="F5" s="3">
        <v>600</v>
      </c>
      <c r="G5" s="3">
        <v>800</v>
      </c>
      <c r="H5" s="3">
        <v>1000</v>
      </c>
    </row>
    <row r="6" spans="2:8" x14ac:dyDescent="0.3">
      <c r="B6" s="1" t="s">
        <v>0</v>
      </c>
      <c r="C6" s="3" t="s">
        <v>3</v>
      </c>
      <c r="D6" s="3" t="s">
        <v>2</v>
      </c>
      <c r="E6" s="3" t="s">
        <v>4</v>
      </c>
      <c r="F6" s="3" t="s">
        <v>5</v>
      </c>
      <c r="G6" s="3" t="s">
        <v>6</v>
      </c>
      <c r="H6" s="3" t="s">
        <v>7</v>
      </c>
    </row>
    <row r="7" spans="2:8" x14ac:dyDescent="0.3">
      <c r="B7" s="1" t="s">
        <v>1</v>
      </c>
      <c r="C7" s="3" t="str" cm="1">
        <f t="array" ref="C7">EDIDCheckSum(C6)</f>
        <v>78</v>
      </c>
      <c r="D7" s="3" t="str" cm="1">
        <f t="array" ref="D7">EDIDCheckSum(D6)</f>
        <v>60</v>
      </c>
      <c r="E7" s="3" t="str" cm="1">
        <f t="array" ref="E7">EDIDCheckSum(E6)</f>
        <v>58</v>
      </c>
      <c r="F7" s="1">
        <v>40</v>
      </c>
      <c r="G7" s="3" t="str" cm="1">
        <f t="array" ref="G7">EDIDCheckSum(G6)</f>
        <v>30</v>
      </c>
      <c r="H7" s="1">
        <v>20</v>
      </c>
    </row>
    <row r="8" spans="2:8" x14ac:dyDescent="0.3">
      <c r="B8" s="1" t="s">
        <v>8</v>
      </c>
      <c r="C8" s="1" t="str">
        <f t="shared" ref="C8:H8" si="0">_xlfn.CONCAT(":1072C000024600207047",LEFT(C6,20),"XX")</f>
        <v>:1072C000024600207047EB0146D0004507295798XX</v>
      </c>
      <c r="D8" s="1" t="str">
        <f t="shared" si="0"/>
        <v>:1072C000024600207047EB0146D0004507415798XX</v>
      </c>
      <c r="E8" s="1" t="str">
        <f t="shared" si="0"/>
        <v>:1072C000024600207047EB0146D0004507495798XX</v>
      </c>
      <c r="F8" s="1" t="str">
        <f t="shared" si="0"/>
        <v>:1072C000024600207047EB0146D0004507615798XX</v>
      </c>
      <c r="G8" s="1" t="str">
        <f t="shared" si="0"/>
        <v>:1072C000024600207047EB0146D0004507715798XX</v>
      </c>
      <c r="H8" s="1" t="str">
        <f t="shared" si="0"/>
        <v>:1072C000024600207047EB0146D0004507815798XX</v>
      </c>
    </row>
    <row r="9" spans="2:8" x14ac:dyDescent="0.3">
      <c r="B9" s="1" t="s">
        <v>9</v>
      </c>
      <c r="C9" s="1" t="str">
        <f t="shared" ref="C9:H9" si="1">_xlfn.CONCAT(":1072D000",RIGHT(C6,4),"00FFFFFFFFFFFF004C2D010C0100XX")</f>
        <v>:1072D000A95300FFFFFFFFFFFF004C2D010C0100XX</v>
      </c>
      <c r="D9" s="1" t="str">
        <f t="shared" si="1"/>
        <v>:1072D000A95300FFFFFFFFFFFF004C2D010C0100XX</v>
      </c>
      <c r="E9" s="1" t="str">
        <f t="shared" si="1"/>
        <v>:1072D000A95300FFFFFFFFFFFF004C2D010C0100XX</v>
      </c>
      <c r="F9" s="1" t="str">
        <f t="shared" si="1"/>
        <v>:1072D000A95300FFFFFFFFFFFF004C2D010C0100XX</v>
      </c>
      <c r="G9" s="1" t="str">
        <f t="shared" si="1"/>
        <v>:1072D000A95300FFFFFFFFFFFF004C2D010C0100XX</v>
      </c>
      <c r="H9" s="1" t="str">
        <f t="shared" si="1"/>
        <v>:1072D000A95300FFFFFFFFFFFF004C2D010C0100XX</v>
      </c>
    </row>
    <row r="10" spans="2:8" x14ac:dyDescent="0.3">
      <c r="B10" s="2" t="s">
        <v>10</v>
      </c>
      <c r="C10" s="1" t="str">
        <f t="shared" ref="C10:H10" si="2">_xlfn.CONCAT(":1074A000060501",C6,"8CXX")</f>
        <v>:1074A000060501EB0146D0004507295798A9538CXX</v>
      </c>
      <c r="D10" s="1" t="str">
        <f t="shared" si="2"/>
        <v>:1074A000060501EB0146D0004507415798A9538CXX</v>
      </c>
      <c r="E10" s="1" t="str">
        <f t="shared" si="2"/>
        <v>:1074A000060501EB0146D0004507495798A9538CXX</v>
      </c>
      <c r="F10" s="1" t="str">
        <f t="shared" si="2"/>
        <v>:1074A000060501EB0146D0004507615798A9538CXX</v>
      </c>
      <c r="G10" s="1" t="str">
        <f t="shared" si="2"/>
        <v>:1074A000060501EB0146D0004507715798A9538CXX</v>
      </c>
      <c r="H10" s="1" t="str">
        <f t="shared" si="2"/>
        <v>:1074A000060501EB0146D0004507815798A9538CXX</v>
      </c>
    </row>
    <row r="11" spans="2:8" x14ac:dyDescent="0.3">
      <c r="B11" s="2" t="s">
        <v>11</v>
      </c>
      <c r="C11" s="1" t="str">
        <f t="shared" ref="C11:H11" si="3">_xlfn.CONCAT(":10899000000000000000",C7,"0605018C0AD08A20E0XX")</f>
        <v>:10899000000000000000780605018C0AD08A20E0XX</v>
      </c>
      <c r="D11" s="1" t="str">
        <f t="shared" si="3"/>
        <v>:10899000000000000000600605018C0AD08A20E0XX</v>
      </c>
      <c r="E11" s="1" t="str">
        <f t="shared" si="3"/>
        <v>:10899000000000000000580605018C0AD08A20E0XX</v>
      </c>
      <c r="F11" s="1" t="str">
        <f t="shared" si="3"/>
        <v>:10899000000000000000400605018C0AD08A20E0XX</v>
      </c>
      <c r="G11" s="1" t="str">
        <f t="shared" si="3"/>
        <v>:10899000000000000000300605018C0AD08A20E0XX</v>
      </c>
      <c r="H11" s="1" t="str">
        <f t="shared" si="3"/>
        <v>:10899000000000000000200605018C0AD08A20E0XX</v>
      </c>
    </row>
    <row r="12" spans="2:8" x14ac:dyDescent="0.3">
      <c r="B12" s="1" t="s">
        <v>12</v>
      </c>
      <c r="C12" s="1" t="str">
        <f t="shared" ref="C12:H12" si="4">_xlfn.CONCAT(":108A9000201820282038200000000000000000",C7,"XX")</f>
        <v>:108A900020182028203820000000000000000078XX</v>
      </c>
      <c r="D12" s="1" t="str">
        <f t="shared" si="4"/>
        <v>:108A900020182028203820000000000000000060XX</v>
      </c>
      <c r="E12" s="1" t="str">
        <f t="shared" si="4"/>
        <v>:108A900020182028203820000000000000000058XX</v>
      </c>
      <c r="F12" s="1" t="str">
        <f t="shared" si="4"/>
        <v>:108A900020182028203820000000000000000040XX</v>
      </c>
      <c r="G12" s="1" t="str">
        <f t="shared" si="4"/>
        <v>:108A900020182028203820000000000000000030XX</v>
      </c>
      <c r="H12" s="1" t="str">
        <f t="shared" si="4"/>
        <v>:108A900020182028203820000000000000000020XX</v>
      </c>
    </row>
    <row r="13" spans="2:8" x14ac:dyDescent="0.3">
      <c r="B13" s="1" t="s">
        <v>13</v>
      </c>
      <c r="C13" s="1" t="str" cm="1">
        <f t="array" ref="C13">SUBSTITUTE(C8,"XX",IntelHexChecksum(MID(C8,2,40)))</f>
        <v>:1072C000024600207047EB0146D000450729579839</v>
      </c>
      <c r="D13" s="1" t="str" cm="1">
        <f t="array" ref="D13">SUBSTITUTE(D8,"XX",IntelHexChecksum(MID(D8,2,40)))</f>
        <v>:1072C000024600207047EB0146D000450741579821</v>
      </c>
      <c r="E13" s="1" t="str" cm="1">
        <f t="array" ref="E13">SUBSTITUTE(E8,"XX",IntelHexChecksum(MID(E8,2,40)))</f>
        <v>:1072C000024600207047EB0146D000450749579819</v>
      </c>
      <c r="F13" s="1" t="str" cm="1">
        <f t="array" ref="F13">SUBSTITUTE(F8,"XX",IntelHexChecksum(MID(F8,2,40)))</f>
        <v>:1072C000024600207047EB0146D000450761579801</v>
      </c>
      <c r="G13" s="1" t="str" cm="1">
        <f t="array" ref="G13">SUBSTITUTE(G8,"XX",IntelHexChecksum(MID(G8,2,40)))</f>
        <v>:1072C000024600207047EB0146D0004507715798F1</v>
      </c>
      <c r="H13" s="1" t="str" cm="1">
        <f t="array" ref="H13">SUBSTITUTE(H8,"XX",IntelHexChecksum(MID(H8,2,40)))</f>
        <v>:1072C000024600207047EB0146D0004507815798E1</v>
      </c>
    </row>
    <row r="14" spans="2:8" x14ac:dyDescent="0.3">
      <c r="B14" s="1" t="s">
        <v>14</v>
      </c>
      <c r="C14" s="1" t="str" cm="1">
        <f t="array" ref="C14">SUBSTITUTE(C9,"XX",IntelHexChecksum(MID(C9,2,40)))</f>
        <v>:1072D000A95300FFFFFFFFFFFF004C2D010C010031</v>
      </c>
      <c r="D14" s="1" t="str" cm="1">
        <f t="array" ref="D14">SUBSTITUTE(D9,"XX",IntelHexChecksum(MID(D9,2,40)))</f>
        <v>:1072D000A95300FFFFFFFFFFFF004C2D010C010031</v>
      </c>
      <c r="E14" s="1" t="str" cm="1">
        <f t="array" ref="E14">SUBSTITUTE(E9,"XX",IntelHexChecksum(MID(E9,2,40)))</f>
        <v>:1072D000A95300FFFFFFFFFFFF004C2D010C010031</v>
      </c>
      <c r="F14" s="1" t="str" cm="1">
        <f t="array" ref="F14">SUBSTITUTE(F9,"XX",IntelHexChecksum(MID(F9,2,40)))</f>
        <v>:1072D000A95300FFFFFFFFFFFF004C2D010C010031</v>
      </c>
      <c r="G14" s="1" t="str" cm="1">
        <f t="array" ref="G14">SUBSTITUTE(G9,"XX",IntelHexChecksum(MID(G9,2,40)))</f>
        <v>:1072D000A95300FFFFFFFFFFFF004C2D010C010031</v>
      </c>
      <c r="H14" s="1" t="str" cm="1">
        <f t="array" ref="H14">SUBSTITUTE(H9,"XX",IntelHexChecksum(MID(H9,2,40)))</f>
        <v>:1072D000A95300FFFFFFFFFFFF004C2D010C010031</v>
      </c>
    </row>
    <row r="15" spans="2:8" x14ac:dyDescent="0.3">
      <c r="B15" s="2" t="s">
        <v>15</v>
      </c>
      <c r="C15" s="1" t="str" cm="1">
        <f t="array" ref="C15">SUBSTITUTE(C10,"XX",IntelHexChecksum(MID(C10,2,40)))</f>
        <v>:1074A000060501EB0146D0004507295798A9538CE2</v>
      </c>
      <c r="D15" s="1" t="str" cm="1">
        <f t="array" ref="D15">SUBSTITUTE(D10,"XX",IntelHexChecksum(MID(D10,2,40)))</f>
        <v>:1074A000060501EB0146D0004507415798A9538CCA</v>
      </c>
      <c r="E15" s="1" t="str" cm="1">
        <f t="array" ref="E15">SUBSTITUTE(E10,"XX",IntelHexChecksum(MID(E10,2,40)))</f>
        <v>:1074A000060501EB0146D0004507495798A9538CC2</v>
      </c>
      <c r="F15" s="1" t="str" cm="1">
        <f t="array" ref="F15">SUBSTITUTE(F10,"XX",IntelHexChecksum(MID(F10,2,40)))</f>
        <v>:1074A000060501EB0146D0004507615798A9538CAA</v>
      </c>
      <c r="G15" s="1" t="str" cm="1">
        <f t="array" ref="G15">SUBSTITUTE(G10,"XX",IntelHexChecksum(MID(G10,2,40)))</f>
        <v>:1074A000060501EB0146D0004507715798A9538C9A</v>
      </c>
      <c r="H15" s="1" t="str" cm="1">
        <f t="array" ref="H15">SUBSTITUTE(H10,"XX",IntelHexChecksum(MID(H10,2,40)))</f>
        <v>:1074A000060501EB0146D0004507815798A9538C8A</v>
      </c>
    </row>
    <row r="16" spans="2:8" x14ac:dyDescent="0.3">
      <c r="B16" s="2" t="s">
        <v>16</v>
      </c>
      <c r="C16" s="1" t="str" cm="1">
        <f t="array" ref="C16">SUBSTITUTE(C11,"XX",IntelHexChecksum(MID(C11,2,40)))</f>
        <v>:10899000000000000000780605018C0AD08A20E063</v>
      </c>
      <c r="D16" s="1" t="str" cm="1">
        <f t="array" ref="D16">SUBSTITUTE(D11,"XX",IntelHexChecksum(MID(D11,2,40)))</f>
        <v>:10899000000000000000600605018C0AD08A20E07B</v>
      </c>
      <c r="E16" s="1" t="str" cm="1">
        <f t="array" ref="E16">SUBSTITUTE(E11,"XX",IntelHexChecksum(MID(E11,2,40)))</f>
        <v>:10899000000000000000580605018C0AD08A20E083</v>
      </c>
      <c r="F16" s="1" t="str" cm="1">
        <f t="array" ref="F16">SUBSTITUTE(F11,"XX",IntelHexChecksum(MID(F11,2,40)))</f>
        <v>:10899000000000000000400605018C0AD08A20E09B</v>
      </c>
      <c r="G16" s="1" t="str" cm="1">
        <f t="array" ref="G16">SUBSTITUTE(G11,"XX",IntelHexChecksum(MID(G11,2,40)))</f>
        <v>:10899000000000000000300605018C0AD08A20E0AB</v>
      </c>
      <c r="H16" s="1" t="str" cm="1">
        <f t="array" ref="H16">SUBSTITUTE(H11,"XX",IntelHexChecksum(MID(H11,2,40)))</f>
        <v>:10899000000000000000200605018C0AD08A20E0BB</v>
      </c>
    </row>
    <row r="17" spans="2:8" x14ac:dyDescent="0.3">
      <c r="B17" s="1" t="s">
        <v>17</v>
      </c>
      <c r="C17" s="1" t="str" cm="1">
        <f t="array" ref="C17">SUBSTITUTE(C12,"XX",IntelHexChecksum(MID(C12,2,40)))</f>
        <v>:108A90002018202820382000000000000000007866</v>
      </c>
      <c r="D17" s="1" t="str" cm="1">
        <f t="array" ref="D17">SUBSTITUTE(D12,"XX",IntelHexChecksum(MID(D12,2,40)))</f>
        <v>:108A9000201820282038200000000000000000607E</v>
      </c>
      <c r="E17" s="1" t="str" cm="1">
        <f t="array" ref="E17">SUBSTITUTE(E12,"XX",IntelHexChecksum(MID(E12,2,40)))</f>
        <v>:108A90002018202820382000000000000000005886</v>
      </c>
      <c r="F17" s="1" t="str" cm="1">
        <f t="array" ref="F17">SUBSTITUTE(F12,"XX",IntelHexChecksum(MID(F12,2,40)))</f>
        <v>:108A9000201820282038200000000000000000409E</v>
      </c>
      <c r="G17" s="1" t="str" cm="1">
        <f t="array" ref="G17">SUBSTITUTE(G12,"XX",IntelHexChecksum(MID(G12,2,40)))</f>
        <v>:108A900020182028203820000000000000000030AE</v>
      </c>
      <c r="H17" s="1" t="str" cm="1">
        <f t="array" ref="H17">SUBSTITUTE(H12,"XX",IntelHexChecksum(MID(H12,2,40)))</f>
        <v>:108A900020182028203820000000000000000020BE</v>
      </c>
    </row>
    <row r="19" spans="2:8" x14ac:dyDescent="0.3">
      <c r="C19" s="1"/>
      <c r="D19" s="1"/>
      <c r="E19" s="1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2022-09-24T15:16:46Z</dcterms:modified>
</cp:coreProperties>
</file>