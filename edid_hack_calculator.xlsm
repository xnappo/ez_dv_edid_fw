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555BA572-8ABC-42FE-A774-3ABEBF2FA460}" xr6:coauthVersionLast="47" xr6:coauthVersionMax="47" xr10:uidLastSave="{00000000-0000-0000-0000-000000000000}"/>
  <bookViews>
    <workbookView xWindow="6417" yWindow="6359" windowWidth="33177" windowHeight="17453" activeTab="5" xr2:uid="{DE808AFE-8AFE-4111-8161-9EF8B03B2A2C}"/>
  </bookViews>
  <sheets>
    <sheet name="Patcher" sheetId="1" r:id="rId1"/>
    <sheet name="Custom DV" sheetId="5" r:id="rId2"/>
    <sheet name="Custom EDID-LS10500" sheetId="6" r:id="rId3"/>
    <sheet name="Custom EDID-VAVA" sheetId="7" r:id="rId4"/>
    <sheet name="Custom EDID-LS12000" sheetId="8" r:id="rId5"/>
    <sheet name="Custom EDID-JVC-RS400" sheetId="10" r:id="rId6"/>
    <sheet name="Custom EDID-Template" sheetId="9" r:id="rId7"/>
    <sheet name="EDID" sheetId="3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0" i="10" l="1"/>
  <c r="C27" i="10" s="1"/>
  <c r="AI20" i="10"/>
  <c r="AH20" i="10"/>
  <c r="AG20" i="10"/>
  <c r="AF20" i="10"/>
  <c r="AE20" i="10"/>
  <c r="AD20" i="10"/>
  <c r="C30" i="10"/>
  <c r="C29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Q8" i="10"/>
  <c r="P8" i="10"/>
  <c r="N8" i="10"/>
  <c r="M8" i="10"/>
  <c r="M5" i="10" s="1"/>
  <c r="L8" i="10"/>
  <c r="I8" i="10"/>
  <c r="H8" i="10"/>
  <c r="G5" i="10" s="1"/>
  <c r="F8" i="10"/>
  <c r="E8" i="10"/>
  <c r="T7" i="10"/>
  <c r="T8" i="10" s="1"/>
  <c r="S7" i="10"/>
  <c r="S8" i="10" s="1"/>
  <c r="R7" i="10"/>
  <c r="R8" i="10" s="1"/>
  <c r="Q7" i="10"/>
  <c r="O7" i="10"/>
  <c r="O8" i="10" s="1"/>
  <c r="M7" i="10"/>
  <c r="O5" i="10"/>
  <c r="C5" i="10"/>
  <c r="C30" i="9"/>
  <c r="C29" i="9"/>
  <c r="C28" i="9"/>
  <c r="C25" i="9"/>
  <c r="C24" i="9"/>
  <c r="C23" i="9"/>
  <c r="C22" i="9"/>
  <c r="C21" i="9"/>
  <c r="C20" i="9"/>
  <c r="C19" i="9"/>
  <c r="C18" i="9"/>
  <c r="C17" i="9"/>
  <c r="C16" i="9"/>
  <c r="C15" i="9"/>
  <c r="C14" i="9"/>
  <c r="Q8" i="9"/>
  <c r="P8" i="9"/>
  <c r="N8" i="9"/>
  <c r="L8" i="9"/>
  <c r="I8" i="9"/>
  <c r="H8" i="9"/>
  <c r="F8" i="9"/>
  <c r="E8" i="9"/>
  <c r="T7" i="9"/>
  <c r="T8" i="9" s="1"/>
  <c r="S7" i="9"/>
  <c r="S8" i="9" s="1"/>
  <c r="S5" i="9" s="1"/>
  <c r="X20" i="9" s="1"/>
  <c r="R7" i="9"/>
  <c r="R8" i="9" s="1"/>
  <c r="Q5" i="9" s="1"/>
  <c r="W20" i="9" s="1"/>
  <c r="Q7" i="9"/>
  <c r="O7" i="9"/>
  <c r="O8" i="9" s="1"/>
  <c r="M7" i="9"/>
  <c r="M8" i="9" s="1"/>
  <c r="M5" i="9" s="1"/>
  <c r="AK19" i="9" s="1"/>
  <c r="O5" i="9"/>
  <c r="AL19" i="9" s="1"/>
  <c r="G5" i="9"/>
  <c r="AI19" i="9" s="1"/>
  <c r="C5" i="9"/>
  <c r="AH19" i="9" s="1"/>
  <c r="C30" i="8"/>
  <c r="C29" i="8"/>
  <c r="C25" i="8"/>
  <c r="C24" i="8"/>
  <c r="C23" i="8"/>
  <c r="C22" i="8"/>
  <c r="C21" i="8"/>
  <c r="C20" i="8"/>
  <c r="C19" i="8"/>
  <c r="C18" i="8"/>
  <c r="C17" i="8"/>
  <c r="C16" i="8"/>
  <c r="C15" i="8"/>
  <c r="C14" i="8"/>
  <c r="P8" i="8"/>
  <c r="N8" i="8"/>
  <c r="L8" i="8"/>
  <c r="I8" i="8"/>
  <c r="G5" i="8" s="1"/>
  <c r="W21" i="8" s="1"/>
  <c r="H8" i="8"/>
  <c r="F8" i="8"/>
  <c r="E8" i="8"/>
  <c r="T7" i="8"/>
  <c r="T8" i="8" s="1"/>
  <c r="S7" i="8"/>
  <c r="S8" i="8" s="1"/>
  <c r="R7" i="8"/>
  <c r="R8" i="8" s="1"/>
  <c r="Q7" i="8"/>
  <c r="Q8" i="8" s="1"/>
  <c r="O7" i="8"/>
  <c r="O8" i="8" s="1"/>
  <c r="M7" i="8"/>
  <c r="M8" i="8" s="1"/>
  <c r="M5" i="8" s="1"/>
  <c r="C27" i="8" s="1"/>
  <c r="C5" i="8"/>
  <c r="AL20" i="8" s="1"/>
  <c r="C15" i="6"/>
  <c r="C14" i="6"/>
  <c r="C30" i="7"/>
  <c r="C29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AL21" i="7"/>
  <c r="AK21" i="7"/>
  <c r="AG21" i="7"/>
  <c r="AF21" i="7"/>
  <c r="X20" i="6"/>
  <c r="W20" i="6"/>
  <c r="AL19" i="6"/>
  <c r="AK19" i="6"/>
  <c r="AI19" i="6"/>
  <c r="AH19" i="6"/>
  <c r="P8" i="7"/>
  <c r="N8" i="7"/>
  <c r="L8" i="7"/>
  <c r="I8" i="7"/>
  <c r="H8" i="7"/>
  <c r="F8" i="7"/>
  <c r="E8" i="7"/>
  <c r="T7" i="7"/>
  <c r="T8" i="7" s="1"/>
  <c r="S7" i="7"/>
  <c r="S8" i="7" s="1"/>
  <c r="R7" i="7"/>
  <c r="R8" i="7" s="1"/>
  <c r="Q7" i="7"/>
  <c r="Q8" i="7" s="1"/>
  <c r="O7" i="7"/>
  <c r="O8" i="7" s="1"/>
  <c r="M7" i="7"/>
  <c r="M8" i="7" s="1"/>
  <c r="C30" i="6"/>
  <c r="C29" i="6"/>
  <c r="C28" i="6"/>
  <c r="C25" i="6"/>
  <c r="C24" i="6"/>
  <c r="C23" i="6"/>
  <c r="C22" i="6"/>
  <c r="C21" i="6"/>
  <c r="C20" i="6"/>
  <c r="C19" i="6"/>
  <c r="C18" i="6"/>
  <c r="C17" i="6"/>
  <c r="C16" i="6"/>
  <c r="Q8" i="6"/>
  <c r="P8" i="6"/>
  <c r="N8" i="6"/>
  <c r="M8" i="6"/>
  <c r="M5" i="6" s="1"/>
  <c r="L8" i="6"/>
  <c r="I8" i="6"/>
  <c r="H8" i="6"/>
  <c r="G5" i="6" s="1"/>
  <c r="F8" i="6"/>
  <c r="E8" i="6"/>
  <c r="T7" i="6"/>
  <c r="T8" i="6" s="1"/>
  <c r="S7" i="6"/>
  <c r="S8" i="6" s="1"/>
  <c r="S5" i="6" s="1"/>
  <c r="R7" i="6"/>
  <c r="R8" i="6" s="1"/>
  <c r="Q7" i="6"/>
  <c r="O7" i="6"/>
  <c r="O8" i="6" s="1"/>
  <c r="O5" i="6" s="1"/>
  <c r="M7" i="6"/>
  <c r="C5" i="6"/>
  <c r="AP35" i="10" a="1"/>
  <c r="AP31" i="10" a="1"/>
  <c r="AP19" i="10" a="1"/>
  <c r="AP17" i="10" a="1"/>
  <c r="AP15" i="10" a="1"/>
  <c r="AP13" i="10" a="1"/>
  <c r="AP10" i="10" a="1"/>
  <c r="AP6" i="10" a="1"/>
  <c r="AP33" i="10" a="1"/>
  <c r="AP18" i="10" a="1"/>
  <c r="AP16" i="10" a="1"/>
  <c r="AP14" i="10" a="1"/>
  <c r="AP8" i="10" a="1"/>
  <c r="AP34" i="10" a="1"/>
  <c r="AP30" i="10" a="1"/>
  <c r="AP28" i="10" a="1"/>
  <c r="AP26" i="10" a="1"/>
  <c r="AP36" i="10" a="1"/>
  <c r="AP32" i="10" a="1"/>
  <c r="AP29" i="10" a="1"/>
  <c r="AP27" i="10" a="1"/>
  <c r="AP25" i="10" a="1"/>
  <c r="AP23" i="10" a="1"/>
  <c r="AP21" i="10" a="1"/>
  <c r="AP20" i="10" a="1"/>
  <c r="AP12" i="10" a="1"/>
  <c r="AP11" i="10" a="1"/>
  <c r="G30" i="10" a="1"/>
  <c r="G25" i="10" a="1"/>
  <c r="G23" i="10" a="1"/>
  <c r="G18" i="10" a="1"/>
  <c r="G22" i="10" a="1"/>
  <c r="G14" i="10" a="1"/>
  <c r="AP5" i="10" a="1"/>
  <c r="G20" i="10" a="1"/>
  <c r="AP9" i="10" a="1"/>
  <c r="G29" i="10" a="1"/>
  <c r="AP24" i="10" a="1"/>
  <c r="AP22" i="10" a="1"/>
  <c r="G21" i="10" a="1"/>
  <c r="G19" i="10" a="1"/>
  <c r="G16" i="10" a="1"/>
  <c r="G27" i="10" a="1"/>
  <c r="G24" i="10" a="1"/>
  <c r="G17" i="10" a="1"/>
  <c r="AP7" i="10" a="1"/>
  <c r="G26" i="10" a="1"/>
  <c r="G15" i="10" a="1"/>
  <c r="AP35" i="9" a="1"/>
  <c r="AP31" i="9" a="1"/>
  <c r="AP17" i="9" a="1"/>
  <c r="AP15" i="9" a="1"/>
  <c r="AP13" i="9" a="1"/>
  <c r="AP10" i="9" a="1"/>
  <c r="AP6" i="9" a="1"/>
  <c r="AP36" i="9" a="1"/>
  <c r="AP32" i="9" a="1"/>
  <c r="AP29" i="9" a="1"/>
  <c r="AP27" i="9" a="1"/>
  <c r="AP25" i="9" a="1"/>
  <c r="AP23" i="9" a="1"/>
  <c r="AP21" i="9" a="1"/>
  <c r="AP12" i="9" a="1"/>
  <c r="AP11" i="9" a="1"/>
  <c r="AP33" i="9" a="1"/>
  <c r="AP30" i="9" a="1"/>
  <c r="AP28" i="9" a="1"/>
  <c r="G23" i="9" a="1"/>
  <c r="G20" i="9" a="1"/>
  <c r="AP18" i="9" a="1"/>
  <c r="G15" i="9" a="1"/>
  <c r="G14" i="9" a="1"/>
  <c r="AP5" i="9" a="1"/>
  <c r="AP34" i="9" a="1"/>
  <c r="G30" i="9" a="1"/>
  <c r="G28" i="9" a="1"/>
  <c r="AP20" i="9" a="1"/>
  <c r="G17" i="9" a="1"/>
  <c r="G16" i="9" a="1"/>
  <c r="AP9" i="9" a="1"/>
  <c r="G25" i="9" a="1"/>
  <c r="AP22" i="9" a="1"/>
  <c r="AP19" i="9" a="1"/>
  <c r="G19" i="9" a="1"/>
  <c r="G18" i="9" a="1"/>
  <c r="AP14" i="9" a="1"/>
  <c r="AP8" i="9" a="1"/>
  <c r="G29" i="9" a="1"/>
  <c r="AP26" i="9" a="1"/>
  <c r="AP24" i="9" a="1"/>
  <c r="G22" i="9" a="1"/>
  <c r="G21" i="9" a="1"/>
  <c r="AP16" i="9" a="1"/>
  <c r="AP7" i="9" a="1"/>
  <c r="G24" i="9" a="1"/>
  <c r="AP35" i="8" a="1"/>
  <c r="AP31" i="8" a="1"/>
  <c r="AP17" i="8" a="1"/>
  <c r="AP15" i="8" a="1"/>
  <c r="AP13" i="8" a="1"/>
  <c r="AP10" i="8" a="1"/>
  <c r="AP6" i="8" a="1"/>
  <c r="G16" i="7" a="1"/>
  <c r="G22" i="7" a="1"/>
  <c r="G27" i="7" a="1"/>
  <c r="G19" i="7" a="1"/>
  <c r="AP9" i="7" a="1"/>
  <c r="AP32" i="7" a="1"/>
  <c r="AP23" i="7" a="1"/>
  <c r="AP15" i="7" a="1"/>
  <c r="AP33" i="7" a="1"/>
  <c r="AP30" i="7" a="1"/>
  <c r="AP22" i="7" a="1"/>
  <c r="AP14" i="7" a="1"/>
  <c r="AP19" i="6" a="1"/>
  <c r="AP10" i="6" a="1"/>
  <c r="G19" i="6" a="1"/>
  <c r="AP29" i="6" a="1"/>
  <c r="AP21" i="6" a="1"/>
  <c r="G14" i="6" a="1"/>
  <c r="AP28" i="6" a="1"/>
  <c r="AP9" i="6" a="1"/>
  <c r="AP18" i="6" a="1"/>
  <c r="AP22" i="6" a="1"/>
  <c r="G29" i="6" a="1"/>
  <c r="G22" i="6" a="1"/>
  <c r="G18" i="8" a="1"/>
  <c r="G14" i="8" a="1"/>
  <c r="AP12" i="8" a="1"/>
  <c r="G17" i="7" a="1"/>
  <c r="G25" i="7" a="1"/>
  <c r="G15" i="7" a="1"/>
  <c r="AP29" i="7" a="1"/>
  <c r="AP13" i="7" a="1"/>
  <c r="AP12" i="7" a="1"/>
  <c r="AP20" i="7" a="1"/>
  <c r="AP8" i="7" a="1"/>
  <c r="AP6" i="6" a="1"/>
  <c r="G15" i="6" a="1"/>
  <c r="G20" i="6" a="1"/>
  <c r="AP7" i="6" a="1"/>
  <c r="G30" i="6" a="1"/>
  <c r="AP30" i="6" a="1"/>
  <c r="G21" i="6" a="1"/>
  <c r="AP36" i="8" a="1"/>
  <c r="AP32" i="8" a="1"/>
  <c r="AP29" i="8" a="1"/>
  <c r="AP27" i="8" a="1"/>
  <c r="AP25" i="8" a="1"/>
  <c r="AP23" i="8" a="1"/>
  <c r="AP21" i="8" a="1"/>
  <c r="G16" i="8" a="1"/>
  <c r="AP11" i="8" a="1"/>
  <c r="G18" i="7" a="1"/>
  <c r="AP7" i="7" a="1"/>
  <c r="AP21" i="7" a="1"/>
  <c r="AP28" i="7" a="1"/>
  <c r="AP17" i="6" a="1"/>
  <c r="AP27" i="6" a="1"/>
  <c r="AP12" i="6" a="1"/>
  <c r="AP26" i="6" a="1"/>
  <c r="AP16" i="6" a="1"/>
  <c r="G24" i="6" a="1"/>
  <c r="G24" i="7" a="1"/>
  <c r="G30" i="7" a="1"/>
  <c r="G14" i="7" a="1"/>
  <c r="G23" i="7" a="1"/>
  <c r="AP35" i="7" a="1"/>
  <c r="AP5" i="7" a="1"/>
  <c r="AP27" i="7" a="1"/>
  <c r="AP19" i="7" a="1"/>
  <c r="AP10" i="7" a="1"/>
  <c r="AP11" i="7" a="1"/>
  <c r="AP26" i="7" a="1"/>
  <c r="AP18" i="7" a="1"/>
  <c r="AP35" i="6" a="1"/>
  <c r="AP15" i="6" a="1"/>
  <c r="AP36" i="6" a="1"/>
  <c r="AP25" i="6" a="1"/>
  <c r="G18" i="6" a="1"/>
  <c r="AP11" i="6" a="1"/>
  <c r="AP24" i="6" a="1"/>
  <c r="AP5" i="6" a="1"/>
  <c r="G25" i="6" a="1"/>
  <c r="G28" i="6" a="1"/>
  <c r="G26" i="7" a="1"/>
  <c r="G29" i="7" a="1"/>
  <c r="AP31" i="7" a="1"/>
  <c r="AP25" i="7" a="1"/>
  <c r="AP6" i="7" a="1"/>
  <c r="AP24" i="7" a="1"/>
  <c r="AP31" i="6" a="1"/>
  <c r="AP20" i="6" a="1"/>
  <c r="AP32" i="6" a="1"/>
  <c r="G16" i="6" a="1"/>
  <c r="AP33" i="6" a="1"/>
  <c r="G23" i="6" a="1"/>
  <c r="AP33" i="8" a="1"/>
  <c r="AP18" i="8" a="1"/>
  <c r="AP16" i="8" a="1"/>
  <c r="AP14" i="8" a="1"/>
  <c r="AP8" i="8" a="1"/>
  <c r="AP34" i="6" a="1"/>
  <c r="AP14" i="6" a="1"/>
  <c r="G20" i="7" a="1"/>
  <c r="G21" i="7" a="1"/>
  <c r="AP36" i="7" a="1"/>
  <c r="AP17" i="7" a="1"/>
  <c r="AP34" i="7" a="1"/>
  <c r="AP16" i="7" a="1"/>
  <c r="AP13" i="6" a="1"/>
  <c r="AP23" i="6" a="1"/>
  <c r="G17" i="6" a="1"/>
  <c r="AP8" i="6" a="1"/>
  <c r="AP34" i="8" a="1"/>
  <c r="AP30" i="8" a="1"/>
  <c r="AP28" i="8" a="1"/>
  <c r="AP26" i="8" a="1"/>
  <c r="AP24" i="8" a="1"/>
  <c r="AP22" i="8" a="1"/>
  <c r="AP20" i="8" a="1"/>
  <c r="AP19" i="8" a="1"/>
  <c r="G19" i="8" a="1"/>
  <c r="G17" i="8" a="1"/>
  <c r="G15" i="8" a="1"/>
  <c r="AP9" i="8" a="1"/>
  <c r="AP7" i="8" a="1"/>
  <c r="AP5" i="8" a="1"/>
  <c r="G30" i="8" a="1"/>
  <c r="G24" i="8" a="1"/>
  <c r="G20" i="8" a="1"/>
  <c r="G22" i="8" a="1"/>
  <c r="G25" i="8" a="1"/>
  <c r="G21" i="8" a="1"/>
  <c r="G29" i="8" a="1"/>
  <c r="G23" i="8" a="1"/>
  <c r="G27" i="8" a="1"/>
  <c r="G15" i="10" l="1"/>
  <c r="G26" i="10"/>
  <c r="AP7" i="10"/>
  <c r="AN7" i="10" s="1"/>
  <c r="G17" i="10"/>
  <c r="G24" i="10"/>
  <c r="G27" i="10"/>
  <c r="G16" i="10"/>
  <c r="G19" i="10"/>
  <c r="G21" i="10"/>
  <c r="AP22" i="10"/>
  <c r="AN22" i="10" s="1"/>
  <c r="AP24" i="10"/>
  <c r="AN24" i="10" s="1"/>
  <c r="G29" i="10"/>
  <c r="AP9" i="10"/>
  <c r="AN9" i="10" s="1"/>
  <c r="G20" i="10"/>
  <c r="AP5" i="10"/>
  <c r="AN5" i="10" s="1"/>
  <c r="G14" i="10"/>
  <c r="G22" i="10"/>
  <c r="G18" i="10"/>
  <c r="G23" i="10"/>
  <c r="G25" i="10"/>
  <c r="G30" i="10"/>
  <c r="AP11" i="10"/>
  <c r="AN11" i="10" s="1"/>
  <c r="AP12" i="10"/>
  <c r="AN12" i="10" s="1"/>
  <c r="AP20" i="10"/>
  <c r="AN20" i="10" s="1"/>
  <c r="AP21" i="10"/>
  <c r="AN21" i="10" s="1"/>
  <c r="AP23" i="10"/>
  <c r="AN23" i="10" s="1"/>
  <c r="AP25" i="10"/>
  <c r="AN25" i="10" s="1"/>
  <c r="AP27" i="10"/>
  <c r="AN27" i="10" s="1"/>
  <c r="AP29" i="10"/>
  <c r="AN29" i="10" s="1"/>
  <c r="AP32" i="10"/>
  <c r="AN32" i="10" s="1"/>
  <c r="AP36" i="10"/>
  <c r="AN36" i="10" s="1"/>
  <c r="AP26" i="10"/>
  <c r="AN26" i="10" s="1"/>
  <c r="AP28" i="10"/>
  <c r="AN28" i="10" s="1"/>
  <c r="AP30" i="10"/>
  <c r="AN30" i="10" s="1"/>
  <c r="AP34" i="10"/>
  <c r="AN34" i="10" s="1"/>
  <c r="AP8" i="10"/>
  <c r="AN8" i="10" s="1"/>
  <c r="AP14" i="10"/>
  <c r="AN14" i="10" s="1"/>
  <c r="AP16" i="10"/>
  <c r="AN16" i="10" s="1"/>
  <c r="AP18" i="10"/>
  <c r="AN18" i="10" s="1"/>
  <c r="AP33" i="10"/>
  <c r="AN33" i="10" s="1"/>
  <c r="AP6" i="10"/>
  <c r="AN6" i="10" s="1"/>
  <c r="AP10" i="10"/>
  <c r="AN10" i="10" s="1"/>
  <c r="AP13" i="10"/>
  <c r="AN13" i="10" s="1"/>
  <c r="AP15" i="10"/>
  <c r="AN15" i="10" s="1"/>
  <c r="AP17" i="10"/>
  <c r="AN17" i="10" s="1"/>
  <c r="AP19" i="10"/>
  <c r="AN19" i="10" s="1"/>
  <c r="AP31" i="10"/>
  <c r="AN31" i="10" s="1"/>
  <c r="AP35" i="10"/>
  <c r="AN35" i="10" s="1"/>
  <c r="Q5" i="10"/>
  <c r="S5" i="10"/>
  <c r="O5" i="8"/>
  <c r="Z21" i="8" s="1"/>
  <c r="Y21" i="8"/>
  <c r="S5" i="8"/>
  <c r="AB21" i="8" s="1"/>
  <c r="Q5" i="8"/>
  <c r="AA21" i="8" s="1"/>
  <c r="G24" i="9"/>
  <c r="AP7" i="9"/>
  <c r="AN7" i="9" s="1"/>
  <c r="AP16" i="9"/>
  <c r="AN16" i="9" s="1"/>
  <c r="G21" i="9"/>
  <c r="G22" i="9"/>
  <c r="AP24" i="9"/>
  <c r="AN24" i="9" s="1"/>
  <c r="AP26" i="9"/>
  <c r="AN26" i="9" s="1"/>
  <c r="G29" i="9"/>
  <c r="AP8" i="9"/>
  <c r="AN8" i="9" s="1"/>
  <c r="AP14" i="9"/>
  <c r="AN14" i="9" s="1"/>
  <c r="G18" i="9"/>
  <c r="G19" i="9"/>
  <c r="AP19" i="9"/>
  <c r="AN19" i="9" s="1"/>
  <c r="AP22" i="9"/>
  <c r="AN22" i="9" s="1"/>
  <c r="G25" i="9"/>
  <c r="AP9" i="9"/>
  <c r="AN9" i="9" s="1"/>
  <c r="G16" i="9"/>
  <c r="G17" i="9"/>
  <c r="AP20" i="9"/>
  <c r="AN20" i="9" s="1"/>
  <c r="G28" i="9"/>
  <c r="G30" i="9"/>
  <c r="AP34" i="9"/>
  <c r="AN34" i="9" s="1"/>
  <c r="AP5" i="9"/>
  <c r="AN5" i="9" s="1"/>
  <c r="G14" i="9"/>
  <c r="G15" i="9"/>
  <c r="AP18" i="9"/>
  <c r="AN18" i="9" s="1"/>
  <c r="G20" i="9"/>
  <c r="G23" i="9"/>
  <c r="AP28" i="9"/>
  <c r="AN28" i="9" s="1"/>
  <c r="AP30" i="9"/>
  <c r="AN30" i="9" s="1"/>
  <c r="AP33" i="9"/>
  <c r="AN33" i="9" s="1"/>
  <c r="AP11" i="9"/>
  <c r="AN11" i="9" s="1"/>
  <c r="AP12" i="9"/>
  <c r="AN12" i="9" s="1"/>
  <c r="AP21" i="9"/>
  <c r="AN21" i="9" s="1"/>
  <c r="AP23" i="9"/>
  <c r="AN23" i="9" s="1"/>
  <c r="AP25" i="9"/>
  <c r="AN25" i="9" s="1"/>
  <c r="AP27" i="9"/>
  <c r="AN27" i="9" s="1"/>
  <c r="AP29" i="9"/>
  <c r="AN29" i="9" s="1"/>
  <c r="AP32" i="9"/>
  <c r="AN32" i="9" s="1"/>
  <c r="AP36" i="9"/>
  <c r="AN36" i="9" s="1"/>
  <c r="AP6" i="9"/>
  <c r="AN6" i="9" s="1"/>
  <c r="AP10" i="9"/>
  <c r="AN10" i="9" s="1"/>
  <c r="AP13" i="9"/>
  <c r="AN13" i="9" s="1"/>
  <c r="AP15" i="9"/>
  <c r="AN15" i="9" s="1"/>
  <c r="AP17" i="9"/>
  <c r="AN17" i="9" s="1"/>
  <c r="AP31" i="9"/>
  <c r="AN31" i="9" s="1"/>
  <c r="AP35" i="9"/>
  <c r="AN35" i="9" s="1"/>
  <c r="C27" i="9"/>
  <c r="G27" i="8"/>
  <c r="G23" i="8"/>
  <c r="G29" i="8"/>
  <c r="G21" i="8"/>
  <c r="G25" i="8"/>
  <c r="G22" i="8"/>
  <c r="G20" i="8"/>
  <c r="G24" i="8"/>
  <c r="G30" i="8"/>
  <c r="AP5" i="8"/>
  <c r="AN5" i="8" s="1"/>
  <c r="AP7" i="8"/>
  <c r="AN7" i="8" s="1"/>
  <c r="AP9" i="8"/>
  <c r="AN9" i="8" s="1"/>
  <c r="G15" i="8"/>
  <c r="G17" i="8"/>
  <c r="G19" i="8"/>
  <c r="AP19" i="8"/>
  <c r="AN19" i="8" s="1"/>
  <c r="AP20" i="8"/>
  <c r="AN20" i="8" s="1"/>
  <c r="AP22" i="8"/>
  <c r="AN22" i="8" s="1"/>
  <c r="AP24" i="8"/>
  <c r="AN24" i="8" s="1"/>
  <c r="AP26" i="8"/>
  <c r="AN26" i="8" s="1"/>
  <c r="AP28" i="8"/>
  <c r="AN28" i="8" s="1"/>
  <c r="AP30" i="8"/>
  <c r="AN30" i="8" s="1"/>
  <c r="AP34" i="8"/>
  <c r="AN34" i="8" s="1"/>
  <c r="AP8" i="8"/>
  <c r="AN8" i="8" s="1"/>
  <c r="AP14" i="8"/>
  <c r="AN14" i="8" s="1"/>
  <c r="AP16" i="8"/>
  <c r="AN16" i="8" s="1"/>
  <c r="AP18" i="8"/>
  <c r="AN18" i="8" s="1"/>
  <c r="AP33" i="8"/>
  <c r="AN33" i="8" s="1"/>
  <c r="AP11" i="8"/>
  <c r="AN11" i="8" s="1"/>
  <c r="G16" i="8"/>
  <c r="AP21" i="8"/>
  <c r="AN21" i="8" s="1"/>
  <c r="AP23" i="8"/>
  <c r="AN23" i="8" s="1"/>
  <c r="AP25" i="8"/>
  <c r="AN25" i="8" s="1"/>
  <c r="AP27" i="8"/>
  <c r="AN27" i="8" s="1"/>
  <c r="AP29" i="8"/>
  <c r="AN29" i="8" s="1"/>
  <c r="AP32" i="8"/>
  <c r="AN32" i="8" s="1"/>
  <c r="AP36" i="8"/>
  <c r="AN36" i="8" s="1"/>
  <c r="AP12" i="8"/>
  <c r="AN12" i="8" s="1"/>
  <c r="G14" i="8"/>
  <c r="G18" i="8"/>
  <c r="AP6" i="8"/>
  <c r="AN6" i="8" s="1"/>
  <c r="AP10" i="8"/>
  <c r="AN10" i="8" s="1"/>
  <c r="AP13" i="8"/>
  <c r="AN13" i="8" s="1"/>
  <c r="AP15" i="8"/>
  <c r="AN15" i="8" s="1"/>
  <c r="AP17" i="8"/>
  <c r="AN17" i="8" s="1"/>
  <c r="AP31" i="8"/>
  <c r="AN31" i="8" s="1"/>
  <c r="AP35" i="8"/>
  <c r="AN35" i="8" s="1"/>
  <c r="G15" i="7"/>
  <c r="G19" i="7"/>
  <c r="G21" i="7"/>
  <c r="G23" i="7"/>
  <c r="G25" i="7"/>
  <c r="G27" i="7"/>
  <c r="G29" i="7"/>
  <c r="G14" i="7"/>
  <c r="G18" i="7"/>
  <c r="G22" i="7"/>
  <c r="G26" i="7"/>
  <c r="G30" i="7"/>
  <c r="G17" i="7"/>
  <c r="G16" i="7"/>
  <c r="G20" i="7"/>
  <c r="G24" i="7"/>
  <c r="C5" i="7"/>
  <c r="G5" i="7"/>
  <c r="M5" i="7"/>
  <c r="AI21" i="7" s="1"/>
  <c r="O5" i="7"/>
  <c r="AJ21" i="7" s="1"/>
  <c r="Q5" i="7"/>
  <c r="S5" i="7"/>
  <c r="AP8" i="7"/>
  <c r="AN8" i="7" s="1"/>
  <c r="AP14" i="7"/>
  <c r="AN14" i="7" s="1"/>
  <c r="AP16" i="7"/>
  <c r="AN16" i="7" s="1"/>
  <c r="AP18" i="7"/>
  <c r="AN18" i="7" s="1"/>
  <c r="AP20" i="7"/>
  <c r="AN20" i="7" s="1"/>
  <c r="AP22" i="7"/>
  <c r="AN22" i="7" s="1"/>
  <c r="AP24" i="7"/>
  <c r="AN24" i="7" s="1"/>
  <c r="AP26" i="7"/>
  <c r="AN26" i="7" s="1"/>
  <c r="AP28" i="7"/>
  <c r="AN28" i="7" s="1"/>
  <c r="AP30" i="7"/>
  <c r="AN30" i="7" s="1"/>
  <c r="AP34" i="7"/>
  <c r="AN34" i="7" s="1"/>
  <c r="AP11" i="7"/>
  <c r="AN11" i="7" s="1"/>
  <c r="AP12" i="7"/>
  <c r="AN12" i="7" s="1"/>
  <c r="AP33" i="7"/>
  <c r="AN33" i="7" s="1"/>
  <c r="AP6" i="7"/>
  <c r="AN6" i="7" s="1"/>
  <c r="AP10" i="7"/>
  <c r="AN10" i="7" s="1"/>
  <c r="AP13" i="7"/>
  <c r="AN13" i="7" s="1"/>
  <c r="AP15" i="7"/>
  <c r="AN15" i="7" s="1"/>
  <c r="AP17" i="7"/>
  <c r="AN17" i="7" s="1"/>
  <c r="AP19" i="7"/>
  <c r="AN19" i="7" s="1"/>
  <c r="AP21" i="7"/>
  <c r="AN21" i="7" s="1"/>
  <c r="AP23" i="7"/>
  <c r="AN23" i="7" s="1"/>
  <c r="AP25" i="7"/>
  <c r="AN25" i="7" s="1"/>
  <c r="AP27" i="7"/>
  <c r="AN27" i="7" s="1"/>
  <c r="AP29" i="7"/>
  <c r="AN29" i="7" s="1"/>
  <c r="AP32" i="7"/>
  <c r="AN32" i="7" s="1"/>
  <c r="AP36" i="7"/>
  <c r="AN36" i="7" s="1"/>
  <c r="AP5" i="7"/>
  <c r="AN5" i="7" s="1"/>
  <c r="AP7" i="7"/>
  <c r="AN7" i="7" s="1"/>
  <c r="AP9" i="7"/>
  <c r="AN9" i="7" s="1"/>
  <c r="AP31" i="7"/>
  <c r="AN31" i="7" s="1"/>
  <c r="AP35" i="7"/>
  <c r="AN35" i="7" s="1"/>
  <c r="G22" i="6"/>
  <c r="G23" i="6"/>
  <c r="G28" i="6"/>
  <c r="G24" i="6"/>
  <c r="G29" i="6"/>
  <c r="G21" i="6"/>
  <c r="G25" i="6"/>
  <c r="G30" i="6"/>
  <c r="AP22" i="6"/>
  <c r="AN22" i="6" s="1"/>
  <c r="AP8" i="6"/>
  <c r="AN8" i="6" s="1"/>
  <c r="AP14" i="6"/>
  <c r="AN14" i="6" s="1"/>
  <c r="AP16" i="6"/>
  <c r="AN16" i="6" s="1"/>
  <c r="AP18" i="6"/>
  <c r="AN18" i="6" s="1"/>
  <c r="AP33" i="6"/>
  <c r="AN33" i="6" s="1"/>
  <c r="AP5" i="6"/>
  <c r="AN5" i="6" s="1"/>
  <c r="AP7" i="6"/>
  <c r="AN7" i="6" s="1"/>
  <c r="AP9" i="6"/>
  <c r="AN9" i="6" s="1"/>
  <c r="G17" i="6"/>
  <c r="AP24" i="6"/>
  <c r="AN24" i="6" s="1"/>
  <c r="AP26" i="6"/>
  <c r="AN26" i="6" s="1"/>
  <c r="AP28" i="6"/>
  <c r="AN28" i="6" s="1"/>
  <c r="AP30" i="6"/>
  <c r="AN30" i="6" s="1"/>
  <c r="AP11" i="6"/>
  <c r="AN11" i="6" s="1"/>
  <c r="AP12" i="6"/>
  <c r="AN12" i="6" s="1"/>
  <c r="G14" i="6"/>
  <c r="G16" i="6"/>
  <c r="G18" i="6"/>
  <c r="G20" i="6"/>
  <c r="AP21" i="6"/>
  <c r="AN21" i="6" s="1"/>
  <c r="AP23" i="6"/>
  <c r="AN23" i="6" s="1"/>
  <c r="AP25" i="6"/>
  <c r="AN25" i="6" s="1"/>
  <c r="AP27" i="6"/>
  <c r="AN27" i="6" s="1"/>
  <c r="AP29" i="6"/>
  <c r="AN29" i="6" s="1"/>
  <c r="AP32" i="6"/>
  <c r="AN32" i="6" s="1"/>
  <c r="AP36" i="6"/>
  <c r="AN36" i="6" s="1"/>
  <c r="G15" i="6"/>
  <c r="G19" i="6"/>
  <c r="AP20" i="6"/>
  <c r="AN20" i="6" s="1"/>
  <c r="AP34" i="6"/>
  <c r="AN34" i="6" s="1"/>
  <c r="AP6" i="6"/>
  <c r="AN6" i="6" s="1"/>
  <c r="AP10" i="6"/>
  <c r="AN10" i="6" s="1"/>
  <c r="AP13" i="6"/>
  <c r="AN13" i="6" s="1"/>
  <c r="AP15" i="6"/>
  <c r="AN15" i="6" s="1"/>
  <c r="AP17" i="6"/>
  <c r="AN17" i="6" s="1"/>
  <c r="AP19" i="6"/>
  <c r="AN19" i="6" s="1"/>
  <c r="AP31" i="6"/>
  <c r="AN31" i="6" s="1"/>
  <c r="AP35" i="6"/>
  <c r="AN35" i="6" s="1"/>
  <c r="Q5" i="6"/>
  <c r="G27" i="9" a="1"/>
  <c r="J8" i="10" l="1"/>
  <c r="J5" i="10" s="1"/>
  <c r="G27" i="9"/>
  <c r="J8" i="8"/>
  <c r="J5" i="8" s="1"/>
  <c r="J8" i="9"/>
  <c r="J5" i="9" s="1"/>
  <c r="J8" i="7"/>
  <c r="J5" i="7" s="1"/>
  <c r="AH21" i="7" s="1"/>
  <c r="C28" i="7" s="1"/>
  <c r="J8" i="6"/>
  <c r="J5" i="6" s="1"/>
  <c r="G26" i="8" a="1"/>
  <c r="G27" i="6" a="1"/>
  <c r="G28" i="7" a="1"/>
  <c r="C28" i="10" l="1"/>
  <c r="C12" i="10"/>
  <c r="C26" i="8"/>
  <c r="X21" i="8"/>
  <c r="C28" i="8" s="1"/>
  <c r="G26" i="8"/>
  <c r="C12" i="8"/>
  <c r="AJ19" i="9"/>
  <c r="C26" i="9" s="1"/>
  <c r="C12" i="9"/>
  <c r="C27" i="6"/>
  <c r="AJ19" i="6"/>
  <c r="C26" i="6" s="1"/>
  <c r="G28" i="7"/>
  <c r="C12" i="7"/>
  <c r="G27" i="6"/>
  <c r="C12" i="6"/>
  <c r="G28" i="10" a="1"/>
  <c r="C13" i="10" a="1"/>
  <c r="G28" i="8" a="1"/>
  <c r="C13" i="9" a="1"/>
  <c r="C13" i="8" a="1"/>
  <c r="G26" i="9" a="1"/>
  <c r="C13" i="7" a="1"/>
  <c r="C13" i="6" a="1"/>
  <c r="G26" i="6" a="1"/>
  <c r="C13" i="10" l="1"/>
  <c r="G28" i="10"/>
  <c r="G28" i="8"/>
  <c r="G26" i="9"/>
  <c r="C13" i="8"/>
  <c r="C13" i="9"/>
  <c r="G26" i="6"/>
  <c r="C13" i="7"/>
  <c r="C13" i="6"/>
  <c r="P8" i="5" l="1"/>
  <c r="N8" i="5"/>
  <c r="L8" i="5"/>
  <c r="I8" i="5"/>
  <c r="H8" i="5"/>
  <c r="F8" i="5"/>
  <c r="E8" i="5"/>
  <c r="T7" i="5"/>
  <c r="T8" i="5" s="1"/>
  <c r="S7" i="5"/>
  <c r="S8" i="5" s="1"/>
  <c r="S5" i="5" s="1"/>
  <c r="R7" i="5"/>
  <c r="R8" i="5" s="1"/>
  <c r="Q7" i="5"/>
  <c r="Q8" i="5" s="1"/>
  <c r="O7" i="5"/>
  <c r="O8" i="5" s="1"/>
  <c r="O5" i="5" s="1"/>
  <c r="M7" i="5"/>
  <c r="M8" i="5" s="1"/>
  <c r="G5" i="5"/>
  <c r="C5" i="5"/>
  <c r="AP31" i="5" a="1"/>
  <c r="AP15" i="5" a="1"/>
  <c r="AP6" i="5" a="1"/>
  <c r="AP24" i="5" a="1"/>
  <c r="AP11" i="5" a="1"/>
  <c r="AP21" i="5" a="1"/>
  <c r="AP30" i="5" a="1"/>
  <c r="AP9" i="5" a="1"/>
  <c r="AP7" i="5" a="1"/>
  <c r="AP27" i="5" a="1"/>
  <c r="AP14" i="5" a="1"/>
  <c r="AP36" i="5" a="1"/>
  <c r="AP20" i="5" a="1"/>
  <c r="AP33" i="5" a="1"/>
  <c r="AP17" i="5" a="1"/>
  <c r="AP26" i="5" a="1"/>
  <c r="AP25" i="5" a="1"/>
  <c r="AP23" i="5" a="1"/>
  <c r="AP13" i="5" a="1"/>
  <c r="AP32" i="5" a="1"/>
  <c r="AP16" i="5" a="1"/>
  <c r="AP29" i="5" a="1"/>
  <c r="AP8" i="5" a="1"/>
  <c r="AP22" i="5" a="1"/>
  <c r="AP5" i="5" a="1"/>
  <c r="AP34" i="5" a="1"/>
  <c r="AP35" i="5" a="1"/>
  <c r="AP19" i="5" a="1"/>
  <c r="AP10" i="5" a="1"/>
  <c r="AP28" i="5" a="1"/>
  <c r="AP12" i="5" a="1"/>
  <c r="AP18" i="5" a="1"/>
  <c r="M5" i="5" l="1"/>
  <c r="AP5" i="5"/>
  <c r="AN5" i="5" s="1"/>
  <c r="AP7" i="5"/>
  <c r="AN7" i="5" s="1"/>
  <c r="AP9" i="5"/>
  <c r="AN9" i="5" s="1"/>
  <c r="AP18" i="5"/>
  <c r="AN18" i="5" s="1"/>
  <c r="AP22" i="5"/>
  <c r="AN22" i="5" s="1"/>
  <c r="AP26" i="5"/>
  <c r="AN26" i="5" s="1"/>
  <c r="AP30" i="5"/>
  <c r="AN30" i="5" s="1"/>
  <c r="AP34" i="5"/>
  <c r="AN34" i="5" s="1"/>
  <c r="AP8" i="5"/>
  <c r="AN8" i="5" s="1"/>
  <c r="AP17" i="5"/>
  <c r="AN17" i="5" s="1"/>
  <c r="AP21" i="5"/>
  <c r="AN21" i="5" s="1"/>
  <c r="AP25" i="5"/>
  <c r="AN25" i="5" s="1"/>
  <c r="AP29" i="5"/>
  <c r="AN29" i="5" s="1"/>
  <c r="AP33" i="5"/>
  <c r="AN33" i="5" s="1"/>
  <c r="AP11" i="5"/>
  <c r="AN11" i="5" s="1"/>
  <c r="AP12" i="5"/>
  <c r="AN12" i="5" s="1"/>
  <c r="AP16" i="5"/>
  <c r="AN16" i="5" s="1"/>
  <c r="AP20" i="5"/>
  <c r="AN20" i="5" s="1"/>
  <c r="AP24" i="5"/>
  <c r="AN24" i="5" s="1"/>
  <c r="AP28" i="5"/>
  <c r="AN28" i="5" s="1"/>
  <c r="AP32" i="5"/>
  <c r="AN32" i="5" s="1"/>
  <c r="AP36" i="5"/>
  <c r="AN36" i="5" s="1"/>
  <c r="AP6" i="5"/>
  <c r="AN6" i="5" s="1"/>
  <c r="AP10" i="5"/>
  <c r="AN10" i="5" s="1"/>
  <c r="AP13" i="5"/>
  <c r="AN13" i="5" s="1"/>
  <c r="AP14" i="5"/>
  <c r="AN14" i="5" s="1"/>
  <c r="AP15" i="5"/>
  <c r="AN15" i="5" s="1"/>
  <c r="AP19" i="5"/>
  <c r="AN19" i="5" s="1"/>
  <c r="AP23" i="5"/>
  <c r="AN23" i="5" s="1"/>
  <c r="AP27" i="5"/>
  <c r="AN27" i="5" s="1"/>
  <c r="AP31" i="5"/>
  <c r="AN31" i="5" s="1"/>
  <c r="AP35" i="5"/>
  <c r="AN35" i="5" s="1"/>
  <c r="Q5" i="5"/>
  <c r="J8" i="5" l="1"/>
  <c r="J5" i="5" s="1"/>
  <c r="C12" i="5" s="1"/>
  <c r="C13" i="5" a="1"/>
  <c r="C13" i="5" l="1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AB6" i="1" a="1"/>
  <c r="T6" i="1" a="1"/>
  <c r="N4" i="1" a="1"/>
  <c r="G6" i="1" a="1"/>
  <c r="H4" i="1" a="1"/>
  <c r="F4" i="1" a="1"/>
  <c r="N6" i="1" a="1"/>
  <c r="Y6" i="1" a="1"/>
  <c r="AF6" i="1" a="1"/>
  <c r="C6" i="1" a="1"/>
  <c r="L6" i="1" a="1"/>
  <c r="V4" i="1" a="1"/>
  <c r="R4" i="1" a="1"/>
  <c r="S6" i="1" a="1"/>
  <c r="AC6" i="1" a="1"/>
  <c r="D7" i="1"/>
  <c r="J7" i="1"/>
  <c r="F6" i="1" a="1"/>
  <c r="O6" i="1" a="1"/>
  <c r="R6" i="1" a="1"/>
  <c r="Z4" i="1" a="1"/>
  <c r="E6" i="1" a="1"/>
  <c r="AD6" i="1" a="1"/>
  <c r="U6" i="1" a="1"/>
  <c r="AH6" i="1" a="1"/>
  <c r="H7" i="1"/>
  <c r="J6" i="1" a="1"/>
  <c r="H6" i="1" a="1"/>
  <c r="M6" i="1" a="1"/>
  <c r="AG6" i="1" a="1"/>
  <c r="Z6" i="1" a="1"/>
  <c r="P6" i="1" a="1"/>
  <c r="C7" i="1"/>
  <c r="V7" i="1"/>
  <c r="N7" i="1"/>
  <c r="X6" i="1" a="1"/>
  <c r="C4" i="1" a="1"/>
  <c r="Q6" i="1" a="1"/>
  <c r="E7" i="1"/>
  <c r="D4" i="1" a="1"/>
  <c r="I6" i="1" a="1"/>
  <c r="D6" i="1" a="1"/>
  <c r="G4" i="1" a="1"/>
  <c r="G7" i="1"/>
  <c r="W6" i="1" a="1"/>
  <c r="AA6" i="1" a="1"/>
  <c r="K6" i="1" a="1"/>
  <c r="V6" i="1" a="1"/>
  <c r="F7" i="1"/>
  <c r="AE6" i="1" a="1"/>
  <c r="C14" i="5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T4" i="1" a="1"/>
  <c r="AF7" i="1"/>
  <c r="Q4" i="1" a="1"/>
  <c r="L4" i="1" a="1"/>
  <c r="AG4" i="1" a="1"/>
  <c r="Y4" i="1" a="1"/>
  <c r="S7" i="1"/>
  <c r="R7" i="1"/>
  <c r="U7" i="1"/>
  <c r="AA4" i="1" a="1"/>
  <c r="M7" i="1"/>
  <c r="J4" i="1" a="1"/>
  <c r="X7" i="1"/>
  <c r="Q7" i="1"/>
  <c r="L7" i="1"/>
  <c r="T7" i="1"/>
  <c r="AB4" i="1" a="1"/>
  <c r="O7" i="1"/>
  <c r="U4" i="1" a="1"/>
  <c r="AA7" i="1"/>
  <c r="W7" i="1"/>
  <c r="X4" i="1" a="1"/>
  <c r="E4" i="1" a="1"/>
  <c r="AC7" i="1"/>
  <c r="K4" i="1" a="1"/>
  <c r="Y7" i="1"/>
  <c r="AD7" i="1"/>
  <c r="AC4" i="1" a="1"/>
  <c r="I4" i="1" a="1"/>
  <c r="AF4" i="1" a="1"/>
  <c r="AB7" i="1"/>
  <c r="O4" i="1" a="1"/>
  <c r="AG7" i="1"/>
  <c r="AH7" i="1"/>
  <c r="W4" i="1" a="1"/>
  <c r="M4" i="1" a="1"/>
  <c r="Z7" i="1"/>
  <c r="AD4" i="1" a="1"/>
  <c r="I7" i="1"/>
  <c r="K7" i="1"/>
  <c r="AH4" i="1" a="1"/>
  <c r="P4" i="1" a="1"/>
  <c r="AE4" i="1" a="1"/>
  <c r="P7" i="1"/>
  <c r="AE7" i="1"/>
  <c r="S4" i="1" a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<sst xmlns="http://schemas.openxmlformats.org/spreadsheetml/2006/main" count="2068" uniqueCount="293">
  <si>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</si>
  <si>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</si>
  <si>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</si>
  <si>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</si>
  <si>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</si>
  <si>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</si>
  <si>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</si>
  <si>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</si>
  <si>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</si>
  <si>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</si>
  <si>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</si>
  <si>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</si>
  <si>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</si>
  <si>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</si>
  <si>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</si>
  <si>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</si>
  <si>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</si>
  <si>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</si>
  <si>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</si>
  <si>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</si>
  <si>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</si>
  <si>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</si>
  <si>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</si>
  <si>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</si>
  <si>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</si>
  <si>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</si>
  <si>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</si>
  <si>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</si>
  <si>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</si>
  <si>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</si>
  <si>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</si>
  <si>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</si>
  <si>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</si>
  <si>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</si>
  <si>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</si>
  <si>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</si>
  <si>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</si>
  <si>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</si>
  <si>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</si>
  <si>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</si>
  <si>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</si>
  <si>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</si>
  <si>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</si>
  <si>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</si>
  <si>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</si>
  <si>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</si>
  <si>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</si>
  <si>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</si>
  <si>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</si>
  <si>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</si>
  <si>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</si>
  <si>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</si>
  <si>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</si>
  <si>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</si>
  <si>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</si>
  <si>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</si>
  <si>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</si>
  <si>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</si>
  <si>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</si>
  <si>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</si>
  <si>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</si>
  <si>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</si>
  <si>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</si>
  <si>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</si>
  <si>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</si>
  <si>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</si>
  <si>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</si>
  <si>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</si>
  <si>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EB0146D000</t>
  </si>
  <si>
    <t>Standard
Header</t>
  </si>
  <si>
    <t>Block 0</t>
  </si>
  <si>
    <t>Block 1</t>
  </si>
  <si>
    <t>5d</t>
  </si>
  <si>
    <t>f2</t>
  </si>
  <si>
    <t>1f</t>
  </si>
  <si>
    <t>3f</t>
  </si>
  <si>
    <t>0f</t>
  </si>
  <si>
    <t>7f</t>
  </si>
  <si>
    <t>3d</t>
  </si>
  <si>
    <t>1e</t>
  </si>
  <si>
    <t>5f</t>
  </si>
  <si>
    <t>7e</t>
  </si>
  <si>
    <t>e3</t>
  </si>
  <si>
    <t>c0</t>
  </si>
  <si>
    <t>6e</t>
  </si>
  <si>
    <t>0c</t>
  </si>
  <si>
    <t>3c</t>
  </si>
  <si>
    <t>e2</t>
  </si>
  <si>
    <t>d8</t>
  </si>
  <si>
    <t>c4</t>
  </si>
  <si>
    <t>02</t>
  </si>
  <si>
    <t>03</t>
  </si>
  <si>
    <t>53</t>
  </si>
  <si>
    <t>61</t>
  </si>
  <si>
    <t>60</t>
  </si>
  <si>
    <t>65</t>
  </si>
  <si>
    <t>66</t>
  </si>
  <si>
    <t>04</t>
  </si>
  <si>
    <t>05</t>
  </si>
  <si>
    <t>07</t>
  </si>
  <si>
    <t>12</t>
  </si>
  <si>
    <t>13</t>
  </si>
  <si>
    <t>14</t>
  </si>
  <si>
    <t>16</t>
  </si>
  <si>
    <t>20</t>
  </si>
  <si>
    <t>22</t>
  </si>
  <si>
    <t>40</t>
  </si>
  <si>
    <t>32</t>
  </si>
  <si>
    <t>50</t>
  </si>
  <si>
    <t>15</t>
  </si>
  <si>
    <t>57</t>
  </si>
  <si>
    <t>67</t>
  </si>
  <si>
    <t>83</t>
  </si>
  <si>
    <t>38</t>
  </si>
  <si>
    <t>80</t>
  </si>
  <si>
    <t>78</t>
  </si>
  <si>
    <t>06</t>
  </si>
  <si>
    <t>DV</t>
  </si>
  <si>
    <t>8c</t>
  </si>
  <si>
    <t>0a</t>
  </si>
  <si>
    <t>d0</t>
  </si>
  <si>
    <t>8a</t>
  </si>
  <si>
    <t>e0</t>
  </si>
  <si>
    <t>2d</t>
  </si>
  <si>
    <t>3e</t>
  </si>
  <si>
    <t>8e</t>
  </si>
  <si>
    <t>96</t>
  </si>
  <si>
    <t>21</t>
  </si>
  <si>
    <t>18</t>
  </si>
  <si>
    <t>ff</t>
  </si>
  <si>
    <t>34</t>
  </si>
  <si>
    <t>a3</t>
  </si>
  <si>
    <t>19</t>
  </si>
  <si>
    <t>73</t>
  </si>
  <si>
    <t>41</t>
  </si>
  <si>
    <t>cf</t>
  </si>
  <si>
    <t>74</t>
  </si>
  <si>
    <t>4c</t>
  </si>
  <si>
    <t>b0</t>
  </si>
  <si>
    <t>23</t>
  </si>
  <si>
    <t>09</t>
  </si>
  <si>
    <t>48</t>
  </si>
  <si>
    <t>08</t>
  </si>
  <si>
    <t>81</t>
  </si>
  <si>
    <t>45</t>
  </si>
  <si>
    <t>95</t>
  </si>
  <si>
    <t>e8</t>
  </si>
  <si>
    <t>30</t>
  </si>
  <si>
    <t>70</t>
  </si>
  <si>
    <t>5a</t>
  </si>
  <si>
    <t>58</t>
  </si>
  <si>
    <t>1d</t>
  </si>
  <si>
    <t>3a</t>
  </si>
  <si>
    <t>71</t>
  </si>
  <si>
    <t>2c</t>
  </si>
  <si>
    <t>fc</t>
  </si>
  <si>
    <t>4d</t>
  </si>
  <si>
    <t>43</t>
  </si>
  <si>
    <t>4f</t>
  </si>
  <si>
    <t>33</t>
  </si>
  <si>
    <t>fd</t>
  </si>
  <si>
    <t>4b</t>
  </si>
  <si>
    <t>87</t>
  </si>
  <si>
    <t>Original EDID</t>
  </si>
  <si>
    <t>Patch 7450</t>
  </si>
  <si>
    <t>c:\exes\ez_dv_edid_fw\dci_p3_10b_vid_change_385ML_v2.hex.txt</t>
  </si>
  <si>
    <t>EDID</t>
  </si>
  <si>
    <t>Patch 73D0</t>
  </si>
  <si>
    <t>Patch 73E0</t>
  </si>
  <si>
    <t>Patch 73F0</t>
  </si>
  <si>
    <t>Patch 7400</t>
  </si>
  <si>
    <t>Patch 7410</t>
  </si>
  <si>
    <t>Patch 7420</t>
  </si>
  <si>
    <t>Patch 7430</t>
  </si>
  <si>
    <t>Patch 7440</t>
  </si>
  <si>
    <t>Patch 7460</t>
  </si>
  <si>
    <t>Patch 7470</t>
  </si>
  <si>
    <t>Patch 7480</t>
  </si>
  <si>
    <t>Patch 7490</t>
  </si>
  <si>
    <t>Patch 74B0</t>
  </si>
  <si>
    <t>Patch 74C0</t>
  </si>
  <si>
    <t>Patch 74D0</t>
  </si>
  <si>
    <t>EB</t>
  </si>
  <si>
    <t>46</t>
  </si>
  <si>
    <t>D0</t>
  </si>
  <si>
    <t>a8</t>
  </si>
  <si>
    <t>1a</t>
  </si>
  <si>
    <t>0e</t>
  </si>
  <si>
    <t>de</t>
  </si>
  <si>
    <t>4e</t>
  </si>
  <si>
    <t>4a</t>
  </si>
  <si>
    <t>ab</t>
  </si>
  <si>
    <t>26</t>
  </si>
  <si>
    <t>55</t>
  </si>
  <si>
    <t>54</t>
  </si>
  <si>
    <t>99</t>
  </si>
  <si>
    <t>84</t>
  </si>
  <si>
    <t>63</t>
  </si>
  <si>
    <t>59</t>
  </si>
  <si>
    <t>90</t>
  </si>
  <si>
    <t>5e</t>
  </si>
  <si>
    <t>62</t>
  </si>
  <si>
    <t>76</t>
  </si>
  <si>
    <t>b8</t>
  </si>
  <si>
    <t>7a</t>
  </si>
  <si>
    <t>c7</t>
  </si>
  <si>
    <t>fb</t>
  </si>
  <si>
    <t>e5</t>
  </si>
  <si>
    <t>eb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</si>
  <si>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</si>
  <si>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</si>
  <si>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</si>
  <si>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</si>
  <si>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</si>
  <si>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</si>
  <si>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</si>
  <si>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</si>
  <si>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</si>
  <si>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</si>
  <si>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1E</t>
  </si>
  <si>
    <t>3A</t>
  </si>
  <si>
    <t>2D</t>
  </si>
  <si>
    <t>2C</t>
  </si>
  <si>
    <t>FC</t>
  </si>
  <si>
    <t>FD</t>
  </si>
  <si>
    <t>0F</t>
  </si>
  <si>
    <t>3C</t>
  </si>
  <si>
    <t>5D</t>
  </si>
  <si>
    <t>1F</t>
  </si>
  <si>
    <t>7F</t>
  </si>
  <si>
    <t>3D</t>
  </si>
  <si>
    <t>5F</t>
  </si>
  <si>
    <t>7E</t>
  </si>
  <si>
    <t>E3</t>
  </si>
  <si>
    <t>C0</t>
  </si>
  <si>
    <t>0C</t>
  </si>
  <si>
    <t>E2</t>
  </si>
  <si>
    <t>D8</t>
  </si>
  <si>
    <t>C4</t>
  </si>
  <si>
    <t>8C</t>
  </si>
  <si>
    <t>3E</t>
  </si>
  <si>
    <t>8E</t>
  </si>
  <si>
    <t>b2</t>
  </si>
  <si>
    <t>72</t>
  </si>
  <si>
    <t>52</t>
  </si>
  <si>
    <t>3B</t>
  </si>
  <si>
    <t>F1</t>
  </si>
  <si>
    <t>5C</t>
  </si>
  <si>
    <t>5E</t>
  </si>
  <si>
    <t>2F</t>
  </si>
  <si>
    <t>DF</t>
  </si>
  <si>
    <t>E5</t>
  </si>
  <si>
    <t>E6</t>
  </si>
  <si>
    <t>17</t>
  </si>
  <si>
    <t>56</t>
  </si>
  <si>
    <t>47</t>
  </si>
  <si>
    <t>64</t>
  </si>
  <si>
    <t>c:\exes\ez_dv_edid_fw\vava_trial.hex.txt</t>
  </si>
  <si>
    <t>c:\exes\ez_dv_edid_fw\vertex2ezcoo_v3.hex</t>
  </si>
  <si>
    <t>f0</t>
  </si>
  <si>
    <t>0d</t>
  </si>
  <si>
    <t>42</t>
  </si>
  <si>
    <t>0b</t>
  </si>
  <si>
    <t>8b</t>
  </si>
  <si>
    <t>a9</t>
  </si>
  <si>
    <t>c:\exes\ez_dv_edid_fw\ezcoo_espon_ls12000_dv.hex</t>
  </si>
  <si>
    <t>c:\exes\ez_dv_edid_fw\ezcoo_jvc_rs400_dv.hex</t>
  </si>
  <si>
    <t>29</t>
  </si>
  <si>
    <t>dd</t>
  </si>
  <si>
    <t>7d</t>
  </si>
  <si>
    <t>2b</t>
  </si>
  <si>
    <t>6b</t>
  </si>
  <si>
    <t>e9</t>
  </si>
  <si>
    <t>af</t>
  </si>
  <si>
    <t>24</t>
  </si>
  <si>
    <t>b3</t>
  </si>
  <si>
    <t>a2</t>
  </si>
  <si>
    <t>51</t>
  </si>
  <si>
    <t>1c</t>
  </si>
  <si>
    <t>c8</t>
  </si>
  <si>
    <t>49</t>
  </si>
  <si>
    <t>31</t>
  </si>
  <si>
    <t>39</t>
  </si>
  <si>
    <t>9f</t>
  </si>
  <si>
    <t>85</t>
  </si>
  <si>
    <t>94</t>
  </si>
  <si>
    <t>7c</t>
  </si>
  <si>
    <t>68</t>
  </si>
  <si>
    <t>c3</t>
  </si>
  <si>
    <t>e4</t>
  </si>
  <si>
    <t>e6</t>
  </si>
  <si>
    <t>28</t>
  </si>
  <si>
    <t>* Note that detailed timing descriptor for 1366x768 was removed to make room for DV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</si>
</sst>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16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3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 applyProtection="1">
      <alignment horizontal="center"/>
    </xf>
    <xf numFmtId="0" fontId="0" fillId="2" borderId="14" xfId="0" applyFont="1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20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17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4" xfId="0" applyFill="1" applyBorder="1" applyAlignment="1" applyProtection="1">
      <alignment horizontal="center"/>
    </xf>
    <xf numFmtId="0" fontId="0" fillId="2" borderId="13" xfId="0" applyFill="1" applyBorder="1" applyAlignment="1" applyProtection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Border="1" applyProtection="1">
      <protection locked="0"/>
    </xf>
    <xf numFmtId="0" fontId="0" fillId="2" borderId="0" xfId="0" applyFill="1" applyBorder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Border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1" fillId="2" borderId="27" xfId="0" applyFont="1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 applyProtection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/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4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2" fillId="0" borderId="34" xfId="0" applyNumberFormat="1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0" fillId="0" borderId="0" xfId="0" applyFill="1" applyBorder="1"/>
    <xf numFmtId="0" fontId="1" fillId="2" borderId="28" xfId="0" quotePrefix="1" applyFont="1" applyFill="1" applyBorder="1"/>
    <xf numFmtId="0" fontId="1" fillId="2" borderId="0" xfId="0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 applyBorder="1" applyAlignment="1">
      <alignment horizontal="left"/>
    </xf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49" fontId="2" fillId="0" borderId="0" xfId="0" applyNumberFormat="1" applyFont="1"/>
    <xf numFmtId="49" fontId="0" fillId="0" borderId="0" xfId="0" applyNumberFormat="1" applyFont="1"/>
    <xf numFmtId="0" fontId="2" fillId="0" borderId="0" xfId="0" applyNumberFormat="1" applyFont="1"/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</cellXfs>
  <cellStyles count="1">
    <cellStyle name="Normal" xfId="0" builtinId="0"/>
  </cellStyles>
  <dxfs count="2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B68FE585-C84F-417D-ACD9-D5747E94C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4C01660-C79E-4665-A1C4-DBD8BD494B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EC6F5CE0-821A-4EE3-89C8-BA56A55EE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36"/>
  <sheetViews>
    <sheetView workbookViewId="0">
      <selection activeCell="B17" sqref="B17"/>
    </sheetView>
  </sheetViews>
  <sheetFormatPr defaultRowHeight="14.4" x14ac:dyDescent="0.3"/>
  <cols>
    <col min="2" max="2" width="15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48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385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AK8"/>
      <c r="AL8"/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165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EB0146D0004503488660768F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ht="15" thickBot="1" x14ac:dyDescent="0.35">
      <c r="B14" s="92" t="s">
        <v>5</v>
      </c>
      <c r="C14" s="48" t="str">
        <f>_xlfn.CONCAT(":1074A000060501",C$12,"8C",IntelHexChecksum(_xlfn.CONCAT("1074A000060501",C$12,"8C")))</f>
        <v>:1074A000060501EB0146D0004503488660768F8CC7</v>
      </c>
      <c r="D14" s="49"/>
      <c r="E14" s="49"/>
      <c r="F14" s="49"/>
      <c r="G14" s="49"/>
      <c r="H14" s="49"/>
      <c r="I14" s="49"/>
      <c r="J14" s="50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C15" s="1"/>
      <c r="G15" s="91"/>
      <c r="H15" s="91"/>
      <c r="I15" s="91"/>
      <c r="J15" s="9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G16" s="91"/>
      <c r="H16" s="91"/>
      <c r="I16" s="91"/>
      <c r="J16" s="91"/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7:54" x14ac:dyDescent="0.3">
      <c r="G17" s="91"/>
      <c r="H17" s="91"/>
      <c r="I17" s="91"/>
      <c r="J17" s="91"/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7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7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7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7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7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7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7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7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7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7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7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7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7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7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7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23" priority="4">
      <formula>$E$7="Not Supported"</formula>
    </cfRule>
  </conditionalFormatting>
  <conditionalFormatting sqref="N7">
    <cfRule type="expression" dxfId="22" priority="3">
      <formula>$P$7="Supported"</formula>
    </cfRule>
  </conditionalFormatting>
  <conditionalFormatting sqref="P7">
    <cfRule type="expression" dxfId="21" priority="2">
      <formula>$N$7="Supported"</formula>
    </cfRule>
  </conditionalFormatting>
  <conditionalFormatting sqref="N7 P7">
    <cfRule type="expression" dxfId="2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I3" xr:uid="{E983231F-37E2-47BC-A910-63F6403DBA45}">
      <formula1>$AU$15:$AU$17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N7 P7" xr:uid="{9628BB4E-CBE2-4806-9391-E83B2F4E7B99}">
      <formula1>"Supported, Not Supported"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BFB4-B1F0-4D25-B4CE-D647A40193AC}">
  <sheetPr codeName="Sheet5"/>
  <dimension ref="B2:BC54"/>
  <sheetViews>
    <sheetView zoomScale="90" zoomScaleNormal="90" workbookViewId="0">
      <selection activeCell="L42" sqref="L42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185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192</v>
      </c>
      <c r="X8" s="65" t="s">
        <v>186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187</v>
      </c>
      <c r="AF8" s="65" t="s">
        <v>188</v>
      </c>
      <c r="AG8" s="65" t="s">
        <v>108</v>
      </c>
      <c r="AH8" s="65" t="s">
        <v>131</v>
      </c>
      <c r="AI8" s="65" t="s">
        <v>194</v>
      </c>
      <c r="AJ8" s="65" t="s">
        <v>137</v>
      </c>
      <c r="AK8" s="65" t="s">
        <v>195</v>
      </c>
      <c r="AL8" s="65" t="s">
        <v>192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194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258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196</v>
      </c>
      <c r="AA11" s="65" t="s">
        <v>197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196</v>
      </c>
      <c r="AC12" s="65" t="s">
        <v>197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193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189</v>
      </c>
      <c r="AC14" s="65" t="s">
        <v>104</v>
      </c>
      <c r="AD14" s="65" t="s">
        <v>108</v>
      </c>
      <c r="AE14" s="65" t="s">
        <v>190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191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244</v>
      </c>
      <c r="Z15" s="65" t="s">
        <v>242</v>
      </c>
      <c r="AA15" s="65" t="s">
        <v>198</v>
      </c>
      <c r="AB15" s="65" t="s">
        <v>199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200</v>
      </c>
      <c r="AD16" s="65" t="s">
        <v>72</v>
      </c>
      <c r="AE16" s="65" t="s">
        <v>201</v>
      </c>
      <c r="AF16" s="65" t="s">
        <v>6</v>
      </c>
      <c r="AG16" s="65" t="s">
        <v>76</v>
      </c>
      <c r="AH16" s="65" t="s">
        <v>187</v>
      </c>
      <c r="AI16" s="65" t="s">
        <v>79</v>
      </c>
      <c r="AJ16" s="65" t="s">
        <v>151</v>
      </c>
      <c r="AK16" s="65" t="s">
        <v>202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203</v>
      </c>
      <c r="AB17" s="65" t="s">
        <v>86</v>
      </c>
      <c r="AC17" s="65" t="s">
        <v>122</v>
      </c>
      <c r="AD17" s="65" t="s">
        <v>204</v>
      </c>
      <c r="AE17" s="65" t="s">
        <v>129</v>
      </c>
      <c r="AF17" s="65" t="s">
        <v>190</v>
      </c>
      <c r="AG17" s="65" t="s">
        <v>129</v>
      </c>
      <c r="AH17" s="65" t="s">
        <v>83</v>
      </c>
      <c r="AI17" s="65" t="s">
        <v>196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205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206</v>
      </c>
      <c r="AI18" s="65" t="s">
        <v>207</v>
      </c>
      <c r="AJ18" s="65" t="s">
        <v>187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208</v>
      </c>
      <c r="AD19" s="98" t="s">
        <v>6</v>
      </c>
      <c r="AE19" s="98" t="s">
        <v>183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181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9" priority="4">
      <formula>$E$7="Not Supported"</formula>
    </cfRule>
  </conditionalFormatting>
  <conditionalFormatting sqref="N7">
    <cfRule type="expression" dxfId="18" priority="3">
      <formula>$P$7="Supported"</formula>
    </cfRule>
  </conditionalFormatting>
  <conditionalFormatting sqref="P7">
    <cfRule type="expression" dxfId="17" priority="2">
      <formula>$N$7="Supported"</formula>
    </cfRule>
  </conditionalFormatting>
  <conditionalFormatting sqref="N7 P7">
    <cfRule type="expression" dxfId="16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0158908C-2567-453F-85C3-3BDA91FA808F}">
      <formula1>$AN$5:$AN$36</formula1>
    </dataValidation>
    <dataValidation type="list" allowBlank="1" showInputMessage="1" showErrorMessage="1" sqref="I7" xr:uid="{72E6EB5F-9097-48EE-BAF7-12BFA1103624}">
      <formula1>$AR$5:$AR$9</formula1>
    </dataValidation>
    <dataValidation type="list" allowBlank="1" showInputMessage="1" showErrorMessage="1" sqref="I3" xr:uid="{D2CE28E2-7F3F-4283-B9A7-D1AEC403FC3E}">
      <formula1>$AU$15:$AU$17</formula1>
    </dataValidation>
    <dataValidation type="list" allowBlank="1" showInputMessage="1" showErrorMessage="1" sqref="L7" xr:uid="{BC53C150-423A-41DD-BC5C-512372C727A5}">
      <formula1>$AU$5:$AU$8</formula1>
    </dataValidation>
    <dataValidation type="list" allowBlank="1" showInputMessage="1" showErrorMessage="1" sqref="E7:F7 H7 N7 P7" xr:uid="{F5B52CAA-0849-43F1-8861-D98379F51B58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C424-0669-44D7-AE68-C9E09F8B1EA9}">
  <sheetPr codeName="Sheet7"/>
  <dimension ref="B2:BB54"/>
  <sheetViews>
    <sheetView zoomScale="90" zoomScaleNormal="90" workbookViewId="0">
      <selection activeCell="M44" sqref="M44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07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18</v>
      </c>
      <c r="I7" s="17" t="s">
        <v>28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209</v>
      </c>
      <c r="Y7" s="65" t="s">
        <v>209</v>
      </c>
      <c r="Z7" s="65" t="s">
        <v>209</v>
      </c>
      <c r="AA7" s="65" t="s">
        <v>209</v>
      </c>
      <c r="AB7" s="65" t="s">
        <v>209</v>
      </c>
      <c r="AC7" s="65" t="s">
        <v>209</v>
      </c>
      <c r="AD7" s="65" t="s">
        <v>7</v>
      </c>
      <c r="AE7" s="65" t="s">
        <v>130</v>
      </c>
      <c r="AF7" s="65" t="s">
        <v>210</v>
      </c>
      <c r="AG7" s="65" t="s">
        <v>6</v>
      </c>
      <c r="AH7" s="65" t="s">
        <v>7</v>
      </c>
      <c r="AI7" s="65" t="s">
        <v>6</v>
      </c>
      <c r="AJ7" s="65" t="s">
        <v>7</v>
      </c>
      <c r="AK7" s="65" t="s">
        <v>7</v>
      </c>
      <c r="AL7" s="65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11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253</v>
      </c>
      <c r="X8" s="65" t="s">
        <v>228</v>
      </c>
      <c r="Y8" s="65" t="s">
        <v>6</v>
      </c>
      <c r="Z8" s="65" t="s">
        <v>91</v>
      </c>
      <c r="AA8" s="65" t="s">
        <v>114</v>
      </c>
      <c r="AB8" s="65" t="s">
        <v>133</v>
      </c>
      <c r="AC8" s="65" t="s">
        <v>134</v>
      </c>
      <c r="AD8" s="65" t="s">
        <v>115</v>
      </c>
      <c r="AE8" s="65" t="s">
        <v>211</v>
      </c>
      <c r="AF8" s="65" t="s">
        <v>212</v>
      </c>
      <c r="AG8" s="65" t="s">
        <v>136</v>
      </c>
      <c r="AH8" s="65" t="s">
        <v>210</v>
      </c>
      <c r="AI8" s="65" t="s">
        <v>110</v>
      </c>
      <c r="AJ8" s="65" t="s">
        <v>213</v>
      </c>
      <c r="AK8" s="65" t="s">
        <v>214</v>
      </c>
      <c r="AL8" s="65" t="s">
        <v>139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140</v>
      </c>
      <c r="X9" s="65" t="s">
        <v>141</v>
      </c>
      <c r="Y9" s="65" t="s">
        <v>213</v>
      </c>
      <c r="Z9" s="65" t="s">
        <v>7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215</v>
      </c>
      <c r="AE10" s="65" t="s">
        <v>7</v>
      </c>
      <c r="AF10" s="65" t="s">
        <v>147</v>
      </c>
      <c r="AG10" s="65" t="s">
        <v>216</v>
      </c>
      <c r="AH10" s="65" t="s">
        <v>148</v>
      </c>
      <c r="AI10" s="65" t="s">
        <v>217</v>
      </c>
      <c r="AJ10" s="65" t="s">
        <v>114</v>
      </c>
      <c r="AK10" s="65" t="s">
        <v>214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257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218</v>
      </c>
      <c r="X11" s="65" t="s">
        <v>7</v>
      </c>
      <c r="Y11" s="65" t="s">
        <v>238</v>
      </c>
      <c r="Z11" s="65" t="s">
        <v>241</v>
      </c>
      <c r="AA11" s="65" t="s">
        <v>127</v>
      </c>
      <c r="AB11" s="65" t="s">
        <v>7</v>
      </c>
      <c r="AC11" s="65" t="s">
        <v>7</v>
      </c>
      <c r="AD11" s="65" t="s">
        <v>219</v>
      </c>
      <c r="AE11" s="65" t="s">
        <v>90</v>
      </c>
      <c r="AF11" s="65" t="s">
        <v>220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221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EB0146D0004507495798A953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222</v>
      </c>
      <c r="Y12" s="65" t="s">
        <v>144</v>
      </c>
      <c r="Z12" s="65" t="s">
        <v>7</v>
      </c>
      <c r="AA12" s="65" t="s">
        <v>238</v>
      </c>
      <c r="AB12" s="65" t="s">
        <v>241</v>
      </c>
      <c r="AC12" s="65" t="s">
        <v>127</v>
      </c>
      <c r="AD12" s="65" t="s">
        <v>7</v>
      </c>
      <c r="AE12" s="65" t="s">
        <v>7</v>
      </c>
      <c r="AF12" s="65" t="s">
        <v>219</v>
      </c>
      <c r="AG12" s="65" t="s">
        <v>7</v>
      </c>
      <c r="AH12" s="65" t="s">
        <v>7</v>
      </c>
      <c r="AI12" s="65" t="s">
        <v>7</v>
      </c>
      <c r="AJ12" s="65" t="s">
        <v>223</v>
      </c>
      <c r="AK12" s="65" t="s">
        <v>7</v>
      </c>
      <c r="AL12" s="65" t="s">
        <v>254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58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134</v>
      </c>
      <c r="X13" s="65" t="s">
        <v>221</v>
      </c>
      <c r="Y13" s="65" t="s">
        <v>92</v>
      </c>
      <c r="Z13" s="65" t="s">
        <v>108</v>
      </c>
      <c r="AA13" s="65" t="s">
        <v>147</v>
      </c>
      <c r="AB13" s="65" t="s">
        <v>147</v>
      </c>
      <c r="AC13" s="65" t="s">
        <v>159</v>
      </c>
      <c r="AD13" s="65" t="s">
        <v>211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224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:1073D000008600FFFFFFFFFFFF0034A301000100</v>
      </c>
      <c r="D14" s="41"/>
      <c r="E14" s="41"/>
      <c r="F14" s="41"/>
      <c r="G14" s="41" t="str" cm="1">
        <f t="array" ref="G14">IntelHexChecksum(RIGHT(C14,40))</f>
        <v>54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245</v>
      </c>
      <c r="Y14" s="65" t="s">
        <v>183</v>
      </c>
      <c r="Z14" s="65" t="s">
        <v>228</v>
      </c>
      <c r="AA14" s="65" t="s">
        <v>239</v>
      </c>
      <c r="AB14" s="65" t="s">
        <v>226</v>
      </c>
      <c r="AC14" s="65" t="s">
        <v>7</v>
      </c>
      <c r="AD14" s="65" t="s">
        <v>211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255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:1073E0000000171F0103807341780ACF74A3574C</v>
      </c>
      <c r="D15" s="41"/>
      <c r="E15" s="41"/>
      <c r="F15" s="41"/>
      <c r="G15" s="41" t="str" cm="1">
        <f t="array" ref="G15">IntelHexChecksum(RIGHT(C15,40))</f>
        <v>24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148</v>
      </c>
      <c r="Z15" s="65" t="s">
        <v>246</v>
      </c>
      <c r="AA15" s="65" t="s">
        <v>247</v>
      </c>
      <c r="AB15" s="65" t="s">
        <v>6</v>
      </c>
      <c r="AC15" s="65" t="s">
        <v>90</v>
      </c>
      <c r="AD15" s="65" t="s">
        <v>91</v>
      </c>
      <c r="AE15" s="65" t="s">
        <v>97</v>
      </c>
      <c r="AF15" s="65" t="s">
        <v>98</v>
      </c>
      <c r="AG15" s="65" t="s">
        <v>99</v>
      </c>
      <c r="AH15" s="65" t="s">
        <v>199</v>
      </c>
      <c r="AI15" s="65" t="s">
        <v>100</v>
      </c>
      <c r="AJ15" s="65" t="s">
        <v>101</v>
      </c>
      <c r="AK15" s="65" t="s">
        <v>102</v>
      </c>
      <c r="AL15" s="65" t="s">
        <v>103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:1073F000B02309484C0000000101010101010101</v>
      </c>
      <c r="D16" s="41"/>
      <c r="E16" s="41"/>
      <c r="F16" s="41"/>
      <c r="G16" s="41" t="str" cm="1">
        <f t="array" ref="G16">IntelHexChecksum(RIGHT(C16,40))</f>
        <v>15</v>
      </c>
      <c r="H16" s="41"/>
      <c r="I16" s="41"/>
      <c r="J16" s="46"/>
      <c r="V16" s="65"/>
      <c r="W16" s="65" t="s">
        <v>228</v>
      </c>
      <c r="X16" s="65" t="s">
        <v>104</v>
      </c>
      <c r="Y16" s="65" t="s">
        <v>127</v>
      </c>
      <c r="Z16" s="65" t="s">
        <v>105</v>
      </c>
      <c r="AA16" s="65" t="s">
        <v>226</v>
      </c>
      <c r="AB16" s="65" t="s">
        <v>230</v>
      </c>
      <c r="AC16" s="65" t="s">
        <v>240</v>
      </c>
      <c r="AD16" s="65" t="s">
        <v>227</v>
      </c>
      <c r="AE16" s="65" t="s">
        <v>248</v>
      </c>
      <c r="AF16" s="65" t="s">
        <v>231</v>
      </c>
      <c r="AG16" s="65" t="s">
        <v>94</v>
      </c>
      <c r="AH16" s="65" t="s">
        <v>93</v>
      </c>
      <c r="AI16" s="65" t="s">
        <v>201</v>
      </c>
      <c r="AJ16" s="65" t="s">
        <v>197</v>
      </c>
      <c r="AK16" s="65" t="s">
        <v>256</v>
      </c>
      <c r="AL16" s="65" t="s">
        <v>95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96</v>
      </c>
      <c r="X17" s="65" t="s">
        <v>249</v>
      </c>
      <c r="Y17" s="65" t="s">
        <v>140</v>
      </c>
      <c r="Z17" s="65" t="s">
        <v>229</v>
      </c>
      <c r="AA17" s="65" t="s">
        <v>99</v>
      </c>
      <c r="AB17" s="65" t="s">
        <v>109</v>
      </c>
      <c r="AC17" s="65" t="s">
        <v>99</v>
      </c>
      <c r="AD17" s="65" t="s">
        <v>108</v>
      </c>
      <c r="AE17" s="65" t="s">
        <v>110</v>
      </c>
      <c r="AF17" s="65" t="s">
        <v>116</v>
      </c>
      <c r="AG17" s="65" t="s">
        <v>7</v>
      </c>
      <c r="AH17" s="65" t="s">
        <v>230</v>
      </c>
      <c r="AI17" s="65" t="s">
        <v>99</v>
      </c>
      <c r="AJ17" s="65" t="s">
        <v>234</v>
      </c>
      <c r="AK17" s="65" t="s">
        <v>231</v>
      </c>
      <c r="AL17" s="65" t="s">
        <v>232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:10741000B0588A00C48E2100001E023A80187138</v>
      </c>
      <c r="D18" s="41"/>
      <c r="E18" s="41"/>
      <c r="F18" s="41"/>
      <c r="G18" s="41" t="str" cm="1">
        <f t="array" ref="G18">IntelHexChecksum(RIGHT(C18,40))</f>
        <v>CC</v>
      </c>
      <c r="H18" s="41"/>
      <c r="I18" s="41"/>
      <c r="J18" s="46"/>
      <c r="V18" s="65"/>
      <c r="W18" s="65" t="s">
        <v>6</v>
      </c>
      <c r="X18" s="65" t="s">
        <v>112</v>
      </c>
      <c r="Y18" s="65" t="s">
        <v>6</v>
      </c>
      <c r="Z18" s="65" t="s">
        <v>7</v>
      </c>
      <c r="AA18" s="65" t="s">
        <v>7</v>
      </c>
      <c r="AB18" s="65" t="s">
        <v>236</v>
      </c>
      <c r="AC18" s="65" t="s">
        <v>7</v>
      </c>
      <c r="AD18" s="65" t="s">
        <v>209</v>
      </c>
      <c r="AE18" s="65" t="s">
        <v>243</v>
      </c>
      <c r="AF18" s="65" t="s">
        <v>91</v>
      </c>
      <c r="AG18" s="65" t="s">
        <v>235</v>
      </c>
      <c r="AH18" s="65" t="s">
        <v>7</v>
      </c>
      <c r="AI18" s="65" t="s">
        <v>29</v>
      </c>
      <c r="AJ18" s="65" t="s">
        <v>7</v>
      </c>
      <c r="AK18" s="65" t="s">
        <v>115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:107420002D40582C4500C48E2100001E000000FC</v>
      </c>
      <c r="D19" s="41"/>
      <c r="E19" s="41"/>
      <c r="F19" s="41"/>
      <c r="G19" s="41" t="str" cm="1">
        <f t="array" ref="G19">IntelHexChecksum(RIGHT(C19,40))</f>
        <v>99</v>
      </c>
      <c r="H19" s="41"/>
      <c r="I19" s="41"/>
      <c r="J19" s="46"/>
      <c r="V19" s="65"/>
      <c r="W19" s="65" t="s">
        <v>104</v>
      </c>
      <c r="X19" s="65" t="s">
        <v>234</v>
      </c>
      <c r="Y19" s="65" t="s">
        <v>196</v>
      </c>
      <c r="Z19" s="65" t="s">
        <v>6</v>
      </c>
      <c r="AA19" s="65" t="s">
        <v>90</v>
      </c>
      <c r="AB19" s="65" t="s">
        <v>91</v>
      </c>
      <c r="AC19" s="65" t="s">
        <v>97</v>
      </c>
      <c r="AD19" s="65" t="s">
        <v>6</v>
      </c>
      <c r="AE19" s="65" t="s">
        <v>157</v>
      </c>
      <c r="AF19" s="65" t="s">
        <v>7</v>
      </c>
      <c r="AG19" s="65" t="s">
        <v>7</v>
      </c>
      <c r="AH19" s="65" t="s">
        <v>111</v>
      </c>
      <c r="AI19" s="65" t="s">
        <v>237</v>
      </c>
      <c r="AJ19" s="65" t="s">
        <v>227</v>
      </c>
      <c r="AK19" s="65" t="s">
        <v>238</v>
      </c>
      <c r="AL19" s="65" t="s">
        <v>6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:107430000056412D53503030330A202020200000</v>
      </c>
      <c r="D20" s="41"/>
      <c r="E20" s="41"/>
      <c r="F20" s="41"/>
      <c r="G20" s="41" t="str" cm="1">
        <f t="array" ref="G20">IntelHexChecksum(RIGHT(C20,40))</f>
        <v>C8</v>
      </c>
      <c r="H20" s="41"/>
      <c r="I20" s="41"/>
      <c r="J20" s="46"/>
      <c r="V20" s="65"/>
      <c r="W20" s="65" t="s">
        <v>115</v>
      </c>
      <c r="X20" s="65" t="s">
        <v>114</v>
      </c>
      <c r="Y20" s="65" t="s">
        <v>99</v>
      </c>
      <c r="Z20" s="65" t="s">
        <v>233</v>
      </c>
      <c r="AA20" s="65" t="s">
        <v>98</v>
      </c>
      <c r="AB20" s="65" t="s">
        <v>250</v>
      </c>
      <c r="AC20" s="65" t="s">
        <v>6</v>
      </c>
      <c r="AD20" s="65" t="s">
        <v>251</v>
      </c>
      <c r="AE20" s="65" t="s">
        <v>225</v>
      </c>
      <c r="AF20" s="65" t="s">
        <v>7</v>
      </c>
      <c r="AG20" s="65" t="s">
        <v>7</v>
      </c>
      <c r="AH20" s="65" t="s">
        <v>94</v>
      </c>
      <c r="AI20" s="65" t="s">
        <v>7</v>
      </c>
      <c r="AJ20" s="65" t="s">
        <v>252</v>
      </c>
      <c r="AK20" s="65" t="s">
        <v>116</v>
      </c>
      <c r="AL20" s="65" t="s">
        <v>225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:1074400000FD003B461F8C3C000A202020202020</v>
      </c>
      <c r="D21" s="41"/>
      <c r="E21" s="41"/>
      <c r="F21" s="41"/>
      <c r="G21" s="41" t="str" cm="1">
        <f t="array" ref="G21">IntelHexChecksum(RIGHT(C21,40))</f>
        <v>0D</v>
      </c>
      <c r="H21" s="41"/>
      <c r="I21" s="41"/>
      <c r="J21" s="46"/>
      <c r="V21" s="65"/>
      <c r="W21" s="65" t="s">
        <v>6</v>
      </c>
      <c r="X21" s="65" t="s">
        <v>7</v>
      </c>
      <c r="Y21" s="65" t="s">
        <v>7</v>
      </c>
      <c r="Z21" s="65" t="s">
        <v>7</v>
      </c>
      <c r="AA21" s="98" t="s">
        <v>182</v>
      </c>
      <c r="AB21" s="98" t="s">
        <v>6</v>
      </c>
      <c r="AC21" s="98" t="s">
        <v>183</v>
      </c>
      <c r="AD21" s="98" t="s">
        <v>184</v>
      </c>
      <c r="AE21" s="98" t="s">
        <v>7</v>
      </c>
      <c r="AF21" s="100" t="str">
        <f>C5</f>
        <v>45</v>
      </c>
      <c r="AG21" s="100" t="str">
        <f>G5</f>
        <v>07</v>
      </c>
      <c r="AH21" s="100" t="str">
        <f>J5</f>
        <v>49</v>
      </c>
      <c r="AI21" s="100" t="str">
        <f>M5</f>
        <v>57</v>
      </c>
      <c r="AJ21" s="100" t="str">
        <f>O5</f>
        <v>98</v>
      </c>
      <c r="AK21" s="100" t="str">
        <f>Q5</f>
        <v>A9</v>
      </c>
      <c r="AL21" s="100" t="str">
        <f>S5</f>
        <v>53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:107450000147020370F15C010203040507901213</v>
      </c>
      <c r="D22" s="41"/>
      <c r="E22" s="41"/>
      <c r="F22" s="41"/>
      <c r="G22" s="41" t="str" cm="1">
        <f t="array" ref="G22">IntelHexChecksum(RIGHT(C22,40))</f>
        <v>57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255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:1074600014161F2021223C3D3E5D5E5F60616263</v>
      </c>
      <c r="D23" s="41"/>
      <c r="E23" s="41"/>
      <c r="F23" s="41"/>
      <c r="G23" s="41" t="str" cm="1">
        <f t="array" ref="G23">IntelHexChecksum(RIGHT(C23,40))</f>
        <v>19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:107470006465662F097F071507505706003D07C0</v>
      </c>
      <c r="D24" s="41"/>
      <c r="E24" s="41"/>
      <c r="F24" s="41"/>
      <c r="G24" s="41" t="str" cm="1">
        <f t="array" ref="G24">IntelHexChecksum(RIGHT(C24,40))</f>
        <v>52</v>
      </c>
      <c r="H24" s="41"/>
      <c r="I24" s="41"/>
      <c r="J24" s="46"/>
      <c r="Y24" s="65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:107480005F7E0183010000E200FF72030C001000</v>
      </c>
      <c r="D25" s="41"/>
      <c r="E25" s="41"/>
      <c r="F25" s="41"/>
      <c r="G25" s="41" t="str" cm="1">
        <f t="array" ref="G25">IntelHexChecksum(RIGHT(C25,40))</f>
        <v>28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:10749000787820C084010203040143000067D85D</v>
      </c>
      <c r="D26" s="41"/>
      <c r="E26" s="41"/>
      <c r="F26" s="41"/>
      <c r="G26" s="41" t="str" cm="1">
        <f t="array" ref="G26">IntelHexChecksum(RIGHT(C26,40))</f>
        <v>AE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:1074A000C401788007E305DF01E50F00006000E6</v>
      </c>
      <c r="D27" s="41"/>
      <c r="E27" s="41"/>
      <c r="F27" s="41"/>
      <c r="G27" s="41" t="str" cm="1">
        <f t="array" ref="G27">IntelHexChecksum(RIGHT(C27,40))</f>
        <v>16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:1074B000060F01000000EB0146D0004507495798</v>
      </c>
      <c r="D28" s="41"/>
      <c r="E28" s="41"/>
      <c r="F28" s="41"/>
      <c r="G28" s="41" t="str" cm="1">
        <f t="array" ref="G28">IntelHexChecksum(RIGHT(C28,40))</f>
        <v>30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:1074C000A9530000000000000000000000000000</v>
      </c>
      <c r="D29" s="41"/>
      <c r="E29" s="41"/>
      <c r="F29" s="41"/>
      <c r="G29" s="41" t="str" cm="1">
        <f t="array" ref="G29">IntelHexChecksum(RIGHT(C29,40))</f>
        <v>C0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181</v>
      </c>
      <c r="C30" s="97" t="str">
        <f>_xlfn.CONCAT(":10",RIGHT(B30,4),"00",AK22:AL22,"00FFFFFFFFFFFF00371801000100")</f>
        <v>:1074D000004700FFFFFFFFFFFF00371801000100</v>
      </c>
      <c r="D30" s="49"/>
      <c r="E30" s="49"/>
      <c r="F30" s="49"/>
      <c r="G30" s="49" t="str" cm="1">
        <f t="array" ref="G30">IntelHexChecksum(RIGHT(C30,40))</f>
        <v>1A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4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4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4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4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4" x14ac:dyDescent="0.3">
      <c r="B37" s="94"/>
      <c r="C37" s="95"/>
    </row>
    <row r="38" spans="2:54" x14ac:dyDescent="0.3">
      <c r="B38" s="94"/>
      <c r="C38" s="95"/>
    </row>
    <row r="39" spans="2:54" x14ac:dyDescent="0.3">
      <c r="B39" s="94"/>
      <c r="C39" s="95"/>
    </row>
    <row r="40" spans="2:54" x14ac:dyDescent="0.3"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</row>
    <row r="41" spans="2:54" x14ac:dyDescent="0.3"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</row>
    <row r="42" spans="2:54" x14ac:dyDescent="0.3"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</row>
    <row r="43" spans="2:54" x14ac:dyDescent="0.3"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</row>
    <row r="44" spans="2:54" x14ac:dyDescent="0.3"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</row>
    <row r="45" spans="2:54" x14ac:dyDescent="0.3"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</row>
    <row r="46" spans="2:54" x14ac:dyDescent="0.3"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</row>
    <row r="47" spans="2:54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</row>
    <row r="48" spans="2:54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5" priority="4">
      <formula>$E$7="Not Supported"</formula>
    </cfRule>
  </conditionalFormatting>
  <conditionalFormatting sqref="N7">
    <cfRule type="expression" dxfId="14" priority="3">
      <formula>$P$7="Supported"</formula>
    </cfRule>
  </conditionalFormatting>
  <conditionalFormatting sqref="P7">
    <cfRule type="expression" dxfId="13" priority="2">
      <formula>$N$7="Supported"</formula>
    </cfRule>
  </conditionalFormatting>
  <conditionalFormatting sqref="N7 P7">
    <cfRule type="expression" dxfId="12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184DEF00-0B50-4189-A274-9EE310804A6E}">
      <formula1>"Supported, Not Supported"</formula1>
    </dataValidation>
    <dataValidation type="list" allowBlank="1" showInputMessage="1" showErrorMessage="1" sqref="L7" xr:uid="{72D05D52-C540-4E17-86E2-57CE35D6D928}">
      <formula1>$AU$5:$AU$8</formula1>
    </dataValidation>
    <dataValidation type="list" allowBlank="1" showInputMessage="1" showErrorMessage="1" sqref="I3" xr:uid="{4A0BCFCA-FA42-4DD1-A979-3328E0204F88}">
      <formula1>$AU$15:$AU$17</formula1>
    </dataValidation>
    <dataValidation type="list" allowBlank="1" showInputMessage="1" showErrorMessage="1" sqref="I7" xr:uid="{11B595A4-ACDF-43CC-AC68-6961F3A10749}">
      <formula1>$AR$5:$AR$9</formula1>
    </dataValidation>
    <dataValidation type="list" allowBlank="1" showInputMessage="1" showErrorMessage="1" sqref="J7" xr:uid="{B731E65F-ECC7-480F-B5F3-CECD8BC5A7FE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E719-AFE0-4320-B5AF-C3D8C103C7D4}">
  <sheetPr codeName="Sheet8"/>
  <dimension ref="B2:BC54"/>
  <sheetViews>
    <sheetView topLeftCell="A20" zoomScale="90" zoomScaleNormal="90" workbookViewId="0">
      <selection activeCell="T19" sqref="T19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100</v>
      </c>
      <c r="AH7" s="65" t="s">
        <v>185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74</v>
      </c>
      <c r="X8" s="65" t="s">
        <v>74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187</v>
      </c>
      <c r="AF8" s="65" t="s">
        <v>188</v>
      </c>
      <c r="AG8" s="65" t="s">
        <v>108</v>
      </c>
      <c r="AH8" s="65" t="s">
        <v>131</v>
      </c>
      <c r="AI8" s="65" t="s">
        <v>194</v>
      </c>
      <c r="AJ8" s="65" t="s">
        <v>137</v>
      </c>
      <c r="AK8" s="65" t="s">
        <v>195</v>
      </c>
      <c r="AL8" s="65" t="s">
        <v>192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194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142</v>
      </c>
      <c r="AD10" s="65" t="s">
        <v>146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265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196</v>
      </c>
      <c r="AA11" s="65" t="s">
        <v>197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196</v>
      </c>
      <c r="AC12" s="65" t="s">
        <v>197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193</v>
      </c>
      <c r="X13" s="65" t="s">
        <v>76</v>
      </c>
      <c r="Y13" s="65" t="s">
        <v>162</v>
      </c>
      <c r="Z13" s="65" t="s">
        <v>86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:1073D000008600ffffffffffff004ca312a80101</v>
      </c>
      <c r="D14" s="41"/>
      <c r="E14" s="41"/>
      <c r="F14" s="41"/>
      <c r="G14" s="41" t="str" cm="1">
        <f t="array" ref="G14">IntelHexChecksum(RIGHT(C14,40))</f>
        <v>82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189</v>
      </c>
      <c r="AC14" s="65" t="s">
        <v>104</v>
      </c>
      <c r="AD14" s="65" t="s">
        <v>108</v>
      </c>
      <c r="AE14" s="65" t="s">
        <v>190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99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:1073E00001011f1f0103800000780ede50a3544c</v>
      </c>
      <c r="D15" s="41"/>
      <c r="E15" s="41"/>
      <c r="F15" s="41"/>
      <c r="G15" s="41" t="str" cm="1">
        <f t="array" ref="G15">IntelHexChecksum(RIGHT(C15,40))</f>
        <v>E2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96</v>
      </c>
      <c r="Z15" s="65" t="s">
        <v>259</v>
      </c>
      <c r="AA15" s="65" t="s">
        <v>193</v>
      </c>
      <c r="AB15" s="65" t="s">
        <v>93</v>
      </c>
      <c r="AC15" s="65" t="s">
        <v>94</v>
      </c>
      <c r="AD15" s="65" t="s">
        <v>96</v>
      </c>
      <c r="AE15" s="65" t="s">
        <v>95</v>
      </c>
      <c r="AF15" s="65" t="s">
        <v>80</v>
      </c>
      <c r="AG15" s="65" t="s">
        <v>200</v>
      </c>
      <c r="AH15" s="65" t="s">
        <v>72</v>
      </c>
      <c r="AI15" s="65" t="s">
        <v>201</v>
      </c>
      <c r="AJ15" s="65" t="s">
        <v>29</v>
      </c>
      <c r="AK15" s="65" t="s">
        <v>74</v>
      </c>
      <c r="AL15" s="65" t="s">
        <v>105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104</v>
      </c>
      <c r="X16" s="65" t="s">
        <v>98</v>
      </c>
      <c r="Y16" s="65" t="s">
        <v>102</v>
      </c>
      <c r="Z16" s="65" t="s">
        <v>97</v>
      </c>
      <c r="AA16" s="65" t="s">
        <v>101</v>
      </c>
      <c r="AB16" s="65" t="s">
        <v>100</v>
      </c>
      <c r="AC16" s="65" t="s">
        <v>30</v>
      </c>
      <c r="AD16" s="65" t="s">
        <v>91</v>
      </c>
      <c r="AE16" s="65" t="s">
        <v>90</v>
      </c>
      <c r="AF16" s="65" t="s">
        <v>6</v>
      </c>
      <c r="AG16" s="65" t="s">
        <v>154</v>
      </c>
      <c r="AH16" s="65" t="s">
        <v>140</v>
      </c>
      <c r="AI16" s="65" t="s">
        <v>99</v>
      </c>
      <c r="AJ16" s="65" t="s">
        <v>99</v>
      </c>
      <c r="AK16" s="65" t="s">
        <v>260</v>
      </c>
      <c r="AL16" s="65" t="s">
        <v>99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:10740000010101010101010108e80030f2705a80</v>
      </c>
      <c r="D17" s="41"/>
      <c r="E17" s="41"/>
      <c r="F17" s="41"/>
      <c r="G17" s="41" t="str" cm="1">
        <f t="array" ref="G17">IntelHexChecksum(RIGHT(C17,40))</f>
        <v>18</v>
      </c>
      <c r="H17" s="41"/>
      <c r="I17" s="41"/>
      <c r="J17" s="46"/>
      <c r="V17" s="65"/>
      <c r="W17" s="65" t="s">
        <v>99</v>
      </c>
      <c r="X17" s="65" t="s">
        <v>80</v>
      </c>
      <c r="Y17" s="65" t="s">
        <v>110</v>
      </c>
      <c r="Z17" s="65" t="s">
        <v>7</v>
      </c>
      <c r="AA17" s="65" t="s">
        <v>110</v>
      </c>
      <c r="AB17" s="65" t="s">
        <v>97</v>
      </c>
      <c r="AC17" s="65" t="s">
        <v>7</v>
      </c>
      <c r="AD17" s="65" t="s">
        <v>243</v>
      </c>
      <c r="AE17" s="65" t="s">
        <v>91</v>
      </c>
      <c r="AF17" s="65" t="s">
        <v>85</v>
      </c>
      <c r="AG17" s="65" t="s">
        <v>7</v>
      </c>
      <c r="AH17" s="65" t="s">
        <v>29</v>
      </c>
      <c r="AI17" s="65" t="s">
        <v>7</v>
      </c>
      <c r="AJ17" s="65" t="s">
        <v>203</v>
      </c>
      <c r="AK17" s="65" t="s">
        <v>86</v>
      </c>
      <c r="AL17" s="65" t="s">
        <v>122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261</v>
      </c>
      <c r="X18" s="65" t="s">
        <v>261</v>
      </c>
      <c r="Y18" s="65" t="s">
        <v>261</v>
      </c>
      <c r="Z18" s="65" t="s">
        <v>261</v>
      </c>
      <c r="AA18" s="65" t="s">
        <v>7</v>
      </c>
      <c r="AB18" s="65" t="s">
        <v>114</v>
      </c>
      <c r="AC18" s="65" t="s">
        <v>6</v>
      </c>
      <c r="AD18" s="65" t="s">
        <v>90</v>
      </c>
      <c r="AE18" s="65" t="s">
        <v>91</v>
      </c>
      <c r="AF18" s="65" t="s">
        <v>97</v>
      </c>
      <c r="AG18" s="65" t="s">
        <v>111</v>
      </c>
      <c r="AH18" s="65" t="s">
        <v>88</v>
      </c>
      <c r="AI18" s="65" t="s">
        <v>72</v>
      </c>
      <c r="AJ18" s="65" t="s">
        <v>89</v>
      </c>
      <c r="AK18" s="65" t="s">
        <v>6</v>
      </c>
      <c r="AL18" s="65" t="s">
        <v>115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114</v>
      </c>
      <c r="X19" s="99" t="s">
        <v>262</v>
      </c>
      <c r="Y19" s="99" t="s">
        <v>112</v>
      </c>
      <c r="Z19" s="99" t="s">
        <v>80</v>
      </c>
      <c r="AA19" s="99" t="s">
        <v>7</v>
      </c>
      <c r="AB19" s="99" t="s">
        <v>7</v>
      </c>
      <c r="AC19" s="99" t="s">
        <v>87</v>
      </c>
      <c r="AD19" s="99" t="s">
        <v>7</v>
      </c>
      <c r="AE19" s="99" t="s">
        <v>206</v>
      </c>
      <c r="AF19" s="99" t="s">
        <v>207</v>
      </c>
      <c r="AG19" s="99" t="s">
        <v>6</v>
      </c>
      <c r="AH19" s="99" t="s">
        <v>263</v>
      </c>
      <c r="AI19" s="99" t="s">
        <v>196</v>
      </c>
      <c r="AJ19" s="99" t="s">
        <v>199</v>
      </c>
      <c r="AK19" s="99" t="s">
        <v>6</v>
      </c>
      <c r="AL19" s="99" t="s">
        <v>82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:107430000018550f873c000a2020202020200000</v>
      </c>
      <c r="D20" s="41"/>
      <c r="E20" s="41"/>
      <c r="F20" s="41"/>
      <c r="G20" s="41" t="str" cm="1">
        <f t="array" ref="G20">IntelHexChecksum(RIGHT(C20,40))</f>
        <v>43</v>
      </c>
      <c r="H20" s="41"/>
      <c r="I20" s="41"/>
      <c r="J20" s="46"/>
      <c r="V20" s="65"/>
      <c r="W20" s="99" t="s">
        <v>98</v>
      </c>
      <c r="X20" s="99" t="s">
        <v>83</v>
      </c>
      <c r="Y20" s="99" t="s">
        <v>7</v>
      </c>
      <c r="Z20" s="99" t="s">
        <v>82</v>
      </c>
      <c r="AA20" s="99" t="s">
        <v>116</v>
      </c>
      <c r="AB20" s="99" t="s">
        <v>260</v>
      </c>
      <c r="AC20" s="99" t="s">
        <v>6</v>
      </c>
      <c r="AD20" s="99" t="s">
        <v>87</v>
      </c>
      <c r="AE20" s="99" t="s">
        <v>76</v>
      </c>
      <c r="AF20" s="99" t="s">
        <v>76</v>
      </c>
      <c r="AG20" s="98" t="s">
        <v>208</v>
      </c>
      <c r="AH20" s="98" t="s">
        <v>6</v>
      </c>
      <c r="AI20" s="98" t="s">
        <v>183</v>
      </c>
      <c r="AJ20" s="98" t="s">
        <v>120</v>
      </c>
      <c r="AK20" s="98" t="s">
        <v>7</v>
      </c>
      <c r="AL20" s="100" t="str">
        <f>C5</f>
        <v>47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100" t="str">
        <f>G5</f>
        <v>04</v>
      </c>
      <c r="X21" s="100" t="str">
        <f>J5</f>
        <v>49</v>
      </c>
      <c r="Y21" s="100" t="str">
        <f>M5</f>
        <v>57</v>
      </c>
      <c r="Z21" s="100" t="str">
        <f>O5</f>
        <v>98</v>
      </c>
      <c r="AA21" s="100" t="str">
        <f>Q5</f>
        <v>A9</v>
      </c>
      <c r="AB21" s="100" t="str">
        <f>S5</f>
        <v>53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:107450000107020366f055616066655f5e5d6210</v>
      </c>
      <c r="D22" s="41"/>
      <c r="E22" s="41"/>
      <c r="F22" s="41"/>
      <c r="G22" s="41" t="str" cm="1">
        <f t="array" ref="G22">IntelHexChecksum(RIGHT(C22,40))</f>
        <v>5C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110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:107460001f22200514041312110302012c090707</v>
      </c>
      <c r="D23" s="41"/>
      <c r="E23" s="41"/>
      <c r="F23" s="41"/>
      <c r="G23" s="41" t="str" cm="1">
        <f t="array" ref="G23">IntelHexChecksum(RIGHT(C23,40))</f>
        <v>1F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:107470000d07075f570057040072030c001000b8</v>
      </c>
      <c r="D24" s="41"/>
      <c r="E24" s="41"/>
      <c r="F24" s="41"/>
      <c r="G24" s="41" t="str" cm="1">
        <f t="array" ref="G24">IntelHexChecksum(RIGHT(C24,40))</f>
        <v>97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:107480003ce04242424200800102030467d85dc4</v>
      </c>
      <c r="D25" s="41"/>
      <c r="E25" s="41"/>
      <c r="F25" s="41"/>
      <c r="G25" s="41" t="str" cm="1">
        <f t="array" ref="G25">IntelHexChecksum(RIGHT(C25,40))</f>
        <v>EE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:107490000178800b835f0000e200fbe5018b8490</v>
      </c>
      <c r="D26" s="41"/>
      <c r="E26" s="41"/>
      <c r="F26" s="41"/>
      <c r="G26" s="41" t="str" cm="1">
        <f t="array" ref="G26">IntelHexChecksum(RIGHT(C26,40))</f>
        <v>A4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:1074A00001e305c000e3060d01e20f0feb0146d0</v>
      </c>
      <c r="D27" s="41"/>
      <c r="E27" s="41"/>
      <c r="F27" s="41"/>
      <c r="G27" s="41" t="str" cm="1">
        <f t="array" ref="G27">IntelHexChecksum(RIGHT(C27,40))</f>
        <v>3A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:1074B000004704495798A9530000000000000000</v>
      </c>
      <c r="D28" s="41"/>
      <c r="E28" s="41"/>
      <c r="F28" s="41"/>
      <c r="G28" s="41" t="str" cm="1">
        <f t="array" ref="G28">IntelHexChecksum(RIGHT(C28,40))</f>
        <v>4D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181</v>
      </c>
      <c r="C30" s="97" t="str">
        <f>_xlfn.CONCAT(":10",RIGHT(B30,4),"00",AK22:AL22,"00FFFFFFFFFFFF00371801000100")</f>
        <v>:1074D000005700FFFFFFFFFFFF00371801000100</v>
      </c>
      <c r="D30" s="49"/>
      <c r="E30" s="49"/>
      <c r="F30" s="49"/>
      <c r="G30" s="49" t="str" cm="1">
        <f t="array" ref="G30">IntelHexChecksum(RIGHT(C30,40))</f>
        <v>0A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1" priority="4">
      <formula>$E$7="Not Supported"</formula>
    </cfRule>
  </conditionalFormatting>
  <conditionalFormatting sqref="N7">
    <cfRule type="expression" dxfId="10" priority="3">
      <formula>$P$7="Supported"</formula>
    </cfRule>
  </conditionalFormatting>
  <conditionalFormatting sqref="P7">
    <cfRule type="expression" dxfId="9" priority="2">
      <formula>$N$7="Supported"</formula>
    </cfRule>
  </conditionalFormatting>
  <conditionalFormatting sqref="N7 P7">
    <cfRule type="expression" dxfId="8" priority="1" stopIfTrue="1">
      <formula>IF(AND($N$7="Supported",$P$7="Supported"),TRUE,FALSE)</formula>
    </cfRule>
  </conditionalFormatting>
  <dataValidations count="5">
    <dataValidation type="list" allowBlank="1" showInputMessage="1" showErrorMessage="1" sqref="E7:F7 H7 N7 P7" xr:uid="{E1B1C745-F1DC-4719-9337-FB7F7DF9A7F4}">
      <formula1>"Supported, Not Supported"</formula1>
    </dataValidation>
    <dataValidation type="list" allowBlank="1" showInputMessage="1" showErrorMessage="1" sqref="L7" xr:uid="{2CC91F59-76DF-404F-8613-8C98369C6CDE}">
      <formula1>$AU$5:$AU$8</formula1>
    </dataValidation>
    <dataValidation type="list" allowBlank="1" showInputMessage="1" showErrorMessage="1" sqref="I3" xr:uid="{9F384E1F-CFD1-414C-B09D-C4110D27A487}">
      <formula1>$AU$15:$AU$17</formula1>
    </dataValidation>
    <dataValidation type="list" allowBlank="1" showInputMessage="1" showErrorMessage="1" sqref="I7" xr:uid="{25EBF95E-B75C-4A79-87AD-AABD7D54A1CB}">
      <formula1>$AR$5:$AR$9</formula1>
    </dataValidation>
    <dataValidation type="list" allowBlank="1" showInputMessage="1" showErrorMessage="1" sqref="J7" xr:uid="{630F3CA2-E546-41BA-B580-4394D81FE804}">
      <formula1>$AN$5:$AN$36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968D2-A2D2-4A69-97E0-ABD89186FE3A}">
  <sheetPr codeName="Sheet10"/>
  <dimension ref="B2:BC54"/>
  <sheetViews>
    <sheetView tabSelected="1" topLeftCell="A4" zoomScale="90" zoomScaleNormal="90" workbookViewId="0">
      <selection activeCell="O28" sqref="O28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45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47</v>
      </c>
      <c r="D5" s="103"/>
      <c r="E5" s="103"/>
      <c r="F5" s="104"/>
      <c r="G5" s="105" t="str">
        <f>DEC2HEX(_xlfn.BITLSHIFT(BIN2DEC(G8),3)+_xlfn.BITLSHIFT(BIN2DEC(H8),2)+BIN2DEC(I8),2)</f>
        <v>04</v>
      </c>
      <c r="H5" s="101"/>
      <c r="I5" s="102"/>
      <c r="J5" s="105" t="str">
        <f>DEC2HEX(_xlfn.BITLSHIFT(BIN2DEC(J8),3)+_xlfn.BITLSHIFT(BIN2DEC(K8),1)+BIN2DEC(L8),2)</f>
        <v>49</v>
      </c>
      <c r="K5" s="101"/>
      <c r="L5" s="102"/>
      <c r="M5" s="101" t="str">
        <f>BIN2HEX(_xlfn.CONCAT(M8,N8),2)</f>
        <v>57</v>
      </c>
      <c r="N5" s="102"/>
      <c r="O5" s="101" t="str">
        <f>BIN2HEX(_xlfn.CONCAT(O8,P8),2)</f>
        <v>98</v>
      </c>
      <c r="P5" s="102"/>
      <c r="Q5" s="101" t="str">
        <f>BIN2HEX(_xlfn.CONCAT(Q8,R8),2)</f>
        <v>A9</v>
      </c>
      <c r="R5" s="102"/>
      <c r="S5" s="101" t="str">
        <f>BIN2HEX(_xlfn.CONCAT(S8,T8),2)</f>
        <v>53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18</v>
      </c>
      <c r="F7" s="16" t="s">
        <v>18</v>
      </c>
      <c r="G7" s="10">
        <v>0</v>
      </c>
      <c r="H7" s="16" t="s">
        <v>18</v>
      </c>
      <c r="I7" s="17" t="s">
        <v>22</v>
      </c>
      <c r="J7" s="28">
        <v>385</v>
      </c>
      <c r="K7" s="29">
        <v>0</v>
      </c>
      <c r="L7" s="18" t="s">
        <v>38</v>
      </c>
      <c r="M7" s="25">
        <f>INDEX(AX15:AX17,MATCH(I3,AU15:AU17,0))</f>
        <v>0.17</v>
      </c>
      <c r="N7" s="38" t="s">
        <v>18</v>
      </c>
      <c r="O7" s="26">
        <f>INDEX(AY15:AY17,MATCH($I$3,$AU$15:$AU$17,0))</f>
        <v>0.79700000000000004</v>
      </c>
      <c r="P7" s="38" t="s">
        <v>19</v>
      </c>
      <c r="Q7" s="26">
        <f>INDEX(AV15:AV17,MATCH($I$3,$AU$15:$AU$17,0))</f>
        <v>0.70799999999999996</v>
      </c>
      <c r="R7" s="27">
        <f>INDEX(AZ15:AZ17,MATCH($I$3,$AU$15:$AU$17,0))</f>
        <v>0.13100000000000001</v>
      </c>
      <c r="S7" s="25">
        <f>INDEX(AW15:AW17,MATCH($I$3,$AU$15:$AU$17,0))</f>
        <v>0.29199999999999998</v>
      </c>
      <c r="T7" s="27">
        <f>INDEX(BA15:BA17,MATCH($I$3,$AU$15:$AU$17,0))</f>
        <v>4.5999999999999999E-2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267</v>
      </c>
      <c r="AF7" s="65" t="s">
        <v>197</v>
      </c>
      <c r="AG7" s="65" t="s">
        <v>86</v>
      </c>
      <c r="AH7" s="65" t="s">
        <v>97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1</v>
      </c>
      <c r="F8" s="20">
        <f>IF(EXACT(F7,"Supported"),1,0)</f>
        <v>1</v>
      </c>
      <c r="G8" s="12" t="s">
        <v>32</v>
      </c>
      <c r="H8" s="20">
        <f>IF(EXACT(H7,"Supported"),1,0)</f>
        <v>1</v>
      </c>
      <c r="I8" s="21" t="str">
        <f>IF(EXACT(E7,"Not Supported"),"11",INDEX(AS5:AS8,MATCH(I7,AR5:AR8,0)))</f>
        <v>00</v>
      </c>
      <c r="J8" s="22" t="str">
        <f>DEC2BIN(VLOOKUP(J7,AN5:AO36,2),5)</f>
        <v>01001</v>
      </c>
      <c r="K8" s="30">
        <v>0</v>
      </c>
      <c r="L8" s="21" t="str">
        <f>VLOOKUP(L7,AU5:AV8,2)</f>
        <v>01</v>
      </c>
      <c r="M8" s="31" t="str">
        <f>DEC2BIN(M7/( 0.49609375/127),7)</f>
        <v>0101011</v>
      </c>
      <c r="N8" s="23">
        <f>IF(AND(EXACT(N7,"Supported"),EXACT(P7,"Not Supported")),1,0)</f>
        <v>1</v>
      </c>
      <c r="O8" s="31" t="str">
        <f>DEC2BIN((O7-0.5)/((0.99609375-0.5)/127),7)</f>
        <v>1001100</v>
      </c>
      <c r="P8" s="23">
        <f>IF(AND(EXACT(P7,"Supported"),EXACT(N7,"Not Supported")),1,0)</f>
        <v>0</v>
      </c>
      <c r="Q8" s="22" t="str">
        <f>DEC2BIN((Q7-0.625)/((0.74609375-0.625)/31),5)</f>
        <v>10101</v>
      </c>
      <c r="R8" s="21" t="str">
        <f>DEC2BIN((R7-0.125)/((0.15234375-0.125)/7),3)</f>
        <v>001</v>
      </c>
      <c r="S8" s="22" t="str">
        <f>DEC2BIN((S7-0.25)/((0.37109375-0.25)/31),5)</f>
        <v>01010</v>
      </c>
      <c r="T8" s="21" t="str">
        <f>DEC2BIN((T7-0.03125)/((0.05859375-0.03125)/7),3)</f>
        <v>011</v>
      </c>
      <c r="V8" s="65"/>
      <c r="W8" s="65" t="s">
        <v>7</v>
      </c>
      <c r="X8" s="65" t="s">
        <v>132</v>
      </c>
      <c r="Y8" s="65" t="s">
        <v>6</v>
      </c>
      <c r="Z8" s="65" t="s">
        <v>91</v>
      </c>
      <c r="AA8" s="65" t="s">
        <v>114</v>
      </c>
      <c r="AB8" s="65" t="s">
        <v>268</v>
      </c>
      <c r="AC8" s="65" t="s">
        <v>269</v>
      </c>
      <c r="AD8" s="65" t="s">
        <v>115</v>
      </c>
      <c r="AE8" s="65" t="s">
        <v>270</v>
      </c>
      <c r="AF8" s="65" t="s">
        <v>271</v>
      </c>
      <c r="AG8" s="65" t="s">
        <v>272</v>
      </c>
      <c r="AH8" s="65" t="s">
        <v>191</v>
      </c>
      <c r="AI8" s="65" t="s">
        <v>194</v>
      </c>
      <c r="AJ8" s="65" t="s">
        <v>137</v>
      </c>
      <c r="AK8" s="65" t="s">
        <v>273</v>
      </c>
      <c r="AL8" s="65" t="s">
        <v>274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262</v>
      </c>
      <c r="X9" s="65" t="s">
        <v>141</v>
      </c>
      <c r="Y9" s="65" t="s">
        <v>190</v>
      </c>
      <c r="Z9" s="65" t="s">
        <v>127</v>
      </c>
      <c r="AA9" s="65" t="s">
        <v>142</v>
      </c>
      <c r="AB9" s="65" t="s">
        <v>7</v>
      </c>
      <c r="AC9" s="65" t="s">
        <v>145</v>
      </c>
      <c r="AD9" s="65" t="s">
        <v>7</v>
      </c>
      <c r="AE9" s="65" t="s">
        <v>143</v>
      </c>
      <c r="AF9" s="65" t="s">
        <v>114</v>
      </c>
      <c r="AG9" s="65" t="s">
        <v>275</v>
      </c>
      <c r="AH9" s="65" t="s">
        <v>7</v>
      </c>
      <c r="AI9" s="65" t="s">
        <v>143</v>
      </c>
      <c r="AJ9" s="65" t="s">
        <v>7</v>
      </c>
      <c r="AK9" s="65" t="s">
        <v>264</v>
      </c>
      <c r="AL9" s="65" t="s">
        <v>83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90</v>
      </c>
      <c r="AD10" s="65" t="s">
        <v>152</v>
      </c>
      <c r="AE10" s="65" t="s">
        <v>114</v>
      </c>
      <c r="AF10" s="65" t="s">
        <v>128</v>
      </c>
      <c r="AG10" s="65" t="s">
        <v>153</v>
      </c>
      <c r="AH10" s="65" t="s">
        <v>113</v>
      </c>
      <c r="AI10" s="65" t="s">
        <v>123</v>
      </c>
      <c r="AJ10" s="65" t="s">
        <v>106</v>
      </c>
      <c r="AK10" s="65" t="s">
        <v>150</v>
      </c>
      <c r="AL10" s="65" t="s">
        <v>154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266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144</v>
      </c>
      <c r="X11" s="65" t="s">
        <v>7</v>
      </c>
      <c r="Y11" s="65" t="s">
        <v>276</v>
      </c>
      <c r="Z11" s="65" t="s">
        <v>87</v>
      </c>
      <c r="AA11" s="65" t="s">
        <v>196</v>
      </c>
      <c r="AB11" s="65" t="s">
        <v>7</v>
      </c>
      <c r="AC11" s="65" t="s">
        <v>7</v>
      </c>
      <c r="AD11" s="65" t="s">
        <v>79</v>
      </c>
      <c r="AE11" s="65" t="s">
        <v>75</v>
      </c>
      <c r="AF11" s="65" t="s">
        <v>74</v>
      </c>
      <c r="AG11" s="65" t="s">
        <v>7</v>
      </c>
      <c r="AH11" s="65" t="s">
        <v>263</v>
      </c>
      <c r="AI11" s="65" t="s">
        <v>277</v>
      </c>
      <c r="AJ11" s="65" t="s">
        <v>7</v>
      </c>
      <c r="AK11" s="65" t="s">
        <v>278</v>
      </c>
      <c r="AL11" s="65" t="s">
        <v>147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EB0146D0004704495798A953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279</v>
      </c>
      <c r="X12" s="65" t="s">
        <v>162</v>
      </c>
      <c r="Y12" s="65" t="s">
        <v>157</v>
      </c>
      <c r="Z12" s="65" t="s">
        <v>7</v>
      </c>
      <c r="AA12" s="65" t="s">
        <v>263</v>
      </c>
      <c r="AB12" s="65" t="s">
        <v>278</v>
      </c>
      <c r="AC12" s="65" t="s">
        <v>197</v>
      </c>
      <c r="AD12" s="65" t="s">
        <v>7</v>
      </c>
      <c r="AE12" s="65" t="s">
        <v>7</v>
      </c>
      <c r="AF12" s="65" t="s">
        <v>278</v>
      </c>
      <c r="AG12" s="65" t="s">
        <v>7</v>
      </c>
      <c r="AH12" s="65" t="s">
        <v>7</v>
      </c>
      <c r="AI12" s="65" t="s">
        <v>7</v>
      </c>
      <c r="AJ12" s="65" t="s">
        <v>155</v>
      </c>
      <c r="AK12" s="65" t="s">
        <v>7</v>
      </c>
      <c r="AL12" s="65" t="s">
        <v>280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59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137</v>
      </c>
      <c r="X13" s="65" t="s">
        <v>134</v>
      </c>
      <c r="Y13" s="65" t="s">
        <v>183</v>
      </c>
      <c r="Z13" s="65" t="s">
        <v>108</v>
      </c>
      <c r="AA13" s="65" t="s">
        <v>190</v>
      </c>
      <c r="AB13" s="65" t="s">
        <v>123</v>
      </c>
      <c r="AC13" s="65" t="s">
        <v>123</v>
      </c>
      <c r="AD13" s="65" t="s">
        <v>150</v>
      </c>
      <c r="AE13" s="65" t="s">
        <v>281</v>
      </c>
      <c r="AF13" s="65" t="s">
        <v>147</v>
      </c>
      <c r="AG13" s="65" t="s">
        <v>190</v>
      </c>
      <c r="AH13" s="65" t="s">
        <v>282</v>
      </c>
      <c r="AI13" s="65" t="s">
        <v>7</v>
      </c>
      <c r="AJ13" s="65" t="s">
        <v>7</v>
      </c>
      <c r="AK13" s="65" t="s">
        <v>7</v>
      </c>
      <c r="AL13" s="65" t="s">
        <v>160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:1073D000008600ffffffffffff0029633c040101</v>
      </c>
      <c r="D14" s="41"/>
      <c r="E14" s="41"/>
      <c r="F14" s="41"/>
      <c r="G14" s="41" t="str" cm="1">
        <f t="array" ref="G14">IntelHexChecksum(RIGHT(C14,40))</f>
        <v>5F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253</v>
      </c>
      <c r="Y14" s="65" t="s">
        <v>78</v>
      </c>
      <c r="Z14" s="65" t="s">
        <v>186</v>
      </c>
      <c r="AA14" s="65" t="s">
        <v>121</v>
      </c>
      <c r="AB14" s="65" t="s">
        <v>86</v>
      </c>
      <c r="AC14" s="65" t="s">
        <v>7</v>
      </c>
      <c r="AD14" s="65" t="s">
        <v>119</v>
      </c>
      <c r="AE14" s="65" t="s">
        <v>104</v>
      </c>
      <c r="AF14" s="65" t="s">
        <v>104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120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:1073E00001010019010380dd7d782b6be9ab544c</v>
      </c>
      <c r="D15" s="41"/>
      <c r="E15" s="41"/>
      <c r="F15" s="41"/>
      <c r="G15" s="41" t="str" cm="1">
        <f t="array" ref="G15">IntelHexChecksum(RIGHT(C15,40))</f>
        <v>62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200</v>
      </c>
      <c r="Z15" s="65" t="s">
        <v>159</v>
      </c>
      <c r="AA15" s="65" t="s">
        <v>193</v>
      </c>
      <c r="AB15" s="65" t="s">
        <v>199</v>
      </c>
      <c r="AC15" s="65" t="s">
        <v>283</v>
      </c>
      <c r="AD15" s="65" t="s">
        <v>284</v>
      </c>
      <c r="AE15" s="65" t="s">
        <v>285</v>
      </c>
      <c r="AF15" s="65" t="s">
        <v>104</v>
      </c>
      <c r="AG15" s="65" t="s">
        <v>97</v>
      </c>
      <c r="AH15" s="65" t="s">
        <v>101</v>
      </c>
      <c r="AI15" s="65" t="s">
        <v>30</v>
      </c>
      <c r="AJ15" s="65" t="s">
        <v>100</v>
      </c>
      <c r="AK15" s="65" t="s">
        <v>90</v>
      </c>
      <c r="AL15" s="65" t="s">
        <v>91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:1073F000af240b484a21080095008180b3008100</v>
      </c>
      <c r="D16" s="41"/>
      <c r="E16" s="41"/>
      <c r="F16" s="41"/>
      <c r="G16" s="41" t="str" cm="1">
        <f t="array" ref="G16">IntelHexChecksum(RIGHT(C16,40))</f>
        <v>2A</v>
      </c>
      <c r="H16" s="41"/>
      <c r="I16" s="41"/>
      <c r="J16" s="46"/>
      <c r="V16" s="65"/>
      <c r="W16" s="65" t="s">
        <v>72</v>
      </c>
      <c r="X16" s="65" t="s">
        <v>200</v>
      </c>
      <c r="Y16" s="65" t="s">
        <v>80</v>
      </c>
      <c r="Z16" s="65" t="s">
        <v>94</v>
      </c>
      <c r="AA16" s="65" t="s">
        <v>93</v>
      </c>
      <c r="AB16" s="65" t="s">
        <v>201</v>
      </c>
      <c r="AC16" s="65" t="s">
        <v>197</v>
      </c>
      <c r="AD16" s="65" t="s">
        <v>256</v>
      </c>
      <c r="AE16" s="65" t="s">
        <v>95</v>
      </c>
      <c r="AF16" s="65" t="s">
        <v>96</v>
      </c>
      <c r="AG16" s="65" t="s">
        <v>286</v>
      </c>
      <c r="AH16" s="65" t="s">
        <v>91</v>
      </c>
      <c r="AI16" s="65" t="s">
        <v>85</v>
      </c>
      <c r="AJ16" s="65" t="s">
        <v>7</v>
      </c>
      <c r="AK16" s="65" t="s">
        <v>29</v>
      </c>
      <c r="AL16" s="65" t="s">
        <v>7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:10740000a9c0010101010101023a801871382d40</v>
      </c>
      <c r="D17" s="41"/>
      <c r="E17" s="41"/>
      <c r="F17" s="41"/>
      <c r="G17" s="41" t="str" cm="1">
        <f t="array" ref="G17">IntelHexChecksum(RIGHT(C17,40))</f>
        <v>23</v>
      </c>
      <c r="H17" s="41"/>
      <c r="I17" s="41"/>
      <c r="J17" s="46"/>
      <c r="V17" s="65"/>
      <c r="W17" s="65" t="s">
        <v>113</v>
      </c>
      <c r="X17" s="65" t="s">
        <v>86</v>
      </c>
      <c r="Y17" s="65" t="s">
        <v>122</v>
      </c>
      <c r="Z17" s="65" t="s">
        <v>134</v>
      </c>
      <c r="AA17" s="65" t="s">
        <v>129</v>
      </c>
      <c r="AB17" s="65" t="s">
        <v>134</v>
      </c>
      <c r="AC17" s="65" t="s">
        <v>129</v>
      </c>
      <c r="AD17" s="65" t="s">
        <v>114</v>
      </c>
      <c r="AE17" s="65" t="s">
        <v>121</v>
      </c>
      <c r="AF17" s="65" t="s">
        <v>6</v>
      </c>
      <c r="AG17" s="65" t="s">
        <v>90</v>
      </c>
      <c r="AH17" s="65" t="s">
        <v>91</v>
      </c>
      <c r="AI17" s="65" t="s">
        <v>97</v>
      </c>
      <c r="AJ17" s="65" t="s">
        <v>142</v>
      </c>
      <c r="AK17" s="65" t="s">
        <v>29</v>
      </c>
      <c r="AL17" s="65" t="s">
        <v>128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:10741000582c4500a2e28400001e3f1f008b5100</v>
      </c>
      <c r="D18" s="41"/>
      <c r="E18" s="41"/>
      <c r="F18" s="41"/>
      <c r="G18" s="41" t="str" cm="1">
        <f t="array" ref="G18">IntelHexChecksum(RIGHT(C18,40))</f>
        <v>43</v>
      </c>
      <c r="H18" s="41"/>
      <c r="I18" s="41"/>
      <c r="J18" s="46"/>
      <c r="V18" s="65"/>
      <c r="W18" s="65" t="s">
        <v>29</v>
      </c>
      <c r="X18" s="65" t="s">
        <v>141</v>
      </c>
      <c r="Y18" s="65" t="s">
        <v>29</v>
      </c>
      <c r="Z18" s="65" t="s">
        <v>150</v>
      </c>
      <c r="AA18" s="65" t="s">
        <v>29</v>
      </c>
      <c r="AB18" s="65" t="s">
        <v>287</v>
      </c>
      <c r="AC18" s="65" t="s">
        <v>29</v>
      </c>
      <c r="AD18" s="65" t="s">
        <v>111</v>
      </c>
      <c r="AE18" s="65" t="s">
        <v>88</v>
      </c>
      <c r="AF18" s="65" t="s">
        <v>72</v>
      </c>
      <c r="AG18" s="65" t="s">
        <v>89</v>
      </c>
      <c r="AH18" s="65" t="s">
        <v>6</v>
      </c>
      <c r="AI18" s="65" t="s">
        <v>115</v>
      </c>
      <c r="AJ18" s="65" t="s">
        <v>114</v>
      </c>
      <c r="AK18" s="65" t="s">
        <v>91</v>
      </c>
      <c r="AL18" s="65" t="s">
        <v>82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:107420001c30c88743008b1c6300001c000000fc</v>
      </c>
      <c r="D19" s="41"/>
      <c r="E19" s="41"/>
      <c r="F19" s="41"/>
      <c r="G19" s="41" t="str" cm="1">
        <f t="array" ref="G19">IntelHexChecksum(RIGHT(C19,40))</f>
        <v>5C</v>
      </c>
      <c r="H19" s="41"/>
      <c r="I19" s="41"/>
      <c r="J19" s="46"/>
      <c r="V19" s="65"/>
      <c r="W19" s="99" t="s">
        <v>98</v>
      </c>
      <c r="X19" s="99" t="s">
        <v>288</v>
      </c>
      <c r="Y19" s="99" t="s">
        <v>6</v>
      </c>
      <c r="Z19" s="99" t="s">
        <v>87</v>
      </c>
      <c r="AA19" s="99" t="s">
        <v>7</v>
      </c>
      <c r="AB19" s="99" t="s">
        <v>206</v>
      </c>
      <c r="AC19" s="99" t="s">
        <v>289</v>
      </c>
      <c r="AD19" s="99" t="s">
        <v>76</v>
      </c>
      <c r="AE19" s="99" t="s">
        <v>7</v>
      </c>
      <c r="AF19" s="99" t="s">
        <v>83</v>
      </c>
      <c r="AG19" s="99" t="s">
        <v>128</v>
      </c>
      <c r="AH19" s="99" t="s">
        <v>290</v>
      </c>
      <c r="AI19" s="99" t="s">
        <v>116</v>
      </c>
      <c r="AJ19" s="99" t="s">
        <v>99</v>
      </c>
      <c r="AK19" s="99" t="s">
        <v>6</v>
      </c>
      <c r="AL19" s="99" t="s">
        <v>7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:1074300000494c4146504a2d2d5831304a390000</v>
      </c>
      <c r="D20" s="41"/>
      <c r="E20" s="41"/>
      <c r="F20" s="41"/>
      <c r="G20" s="41" t="str" cm="1">
        <f t="array" ref="G20">IntelHexChecksum(RIGHT(C20,40))</f>
        <v>00</v>
      </c>
      <c r="H20" s="41"/>
      <c r="I20" s="41"/>
      <c r="J20" s="46"/>
      <c r="V20" s="65"/>
      <c r="W20" s="99" t="s">
        <v>7</v>
      </c>
      <c r="X20" s="99" t="s">
        <v>7</v>
      </c>
      <c r="Y20" s="98" t="s">
        <v>208</v>
      </c>
      <c r="Z20" s="98" t="s">
        <v>6</v>
      </c>
      <c r="AA20" s="98" t="s">
        <v>183</v>
      </c>
      <c r="AB20" s="98" t="s">
        <v>120</v>
      </c>
      <c r="AC20" s="98" t="s">
        <v>7</v>
      </c>
      <c r="AD20" s="100" t="str">
        <f>C5</f>
        <v>47</v>
      </c>
      <c r="AE20" s="100" t="str">
        <f>G5</f>
        <v>04</v>
      </c>
      <c r="AF20" s="100" t="str">
        <f>J5</f>
        <v>49</v>
      </c>
      <c r="AG20" s="100" t="str">
        <f>M5</f>
        <v>57</v>
      </c>
      <c r="AH20" s="100" t="str">
        <f>O5</f>
        <v>98</v>
      </c>
      <c r="AI20" s="100" t="str">
        <f>Q5</f>
        <v>A9</v>
      </c>
      <c r="AJ20" s="100" t="str">
        <f>S5</f>
        <v>53</v>
      </c>
      <c r="AK20" s="99" t="s">
        <v>6</v>
      </c>
      <c r="AL20" s="99" t="s">
        <v>151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:1074400000fd00173d1a8a3c000a202020202020</v>
      </c>
      <c r="D21" s="41"/>
      <c r="E21" s="41"/>
      <c r="F21" s="41"/>
      <c r="G21" s="41" t="str" cm="1">
        <f t="array" ref="G21">IntelHexChecksum(RIGHT(C21,40))</f>
        <v>41</v>
      </c>
      <c r="H21" s="41"/>
      <c r="I21" s="41"/>
      <c r="J21" s="46"/>
      <c r="V21" s="65"/>
      <c r="W21" s="99" t="s">
        <v>7</v>
      </c>
      <c r="X21" s="99" t="s">
        <v>243</v>
      </c>
      <c r="Y21" s="99" t="s">
        <v>277</v>
      </c>
      <c r="Z21" s="99" t="s">
        <v>120</v>
      </c>
      <c r="AA21" s="99" t="s">
        <v>79</v>
      </c>
      <c r="AB21" s="99" t="s">
        <v>104</v>
      </c>
      <c r="AC21" s="99" t="s">
        <v>84</v>
      </c>
      <c r="AD21" s="99" t="s">
        <v>291</v>
      </c>
      <c r="AE21" s="99" t="s">
        <v>193</v>
      </c>
      <c r="AF21" s="99" t="s">
        <v>7</v>
      </c>
      <c r="AG21" s="99" t="s">
        <v>276</v>
      </c>
      <c r="AH21" s="99" t="s">
        <v>87</v>
      </c>
      <c r="AI21" s="99" t="s">
        <v>196</v>
      </c>
      <c r="AJ21" s="99" t="s">
        <v>7</v>
      </c>
      <c r="AK21" s="99" t="s">
        <v>7</v>
      </c>
      <c r="AL21" s="99" t="s">
        <v>79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:1074500001d002035e3355909f85942004131112</v>
      </c>
      <c r="D22" s="41"/>
      <c r="E22" s="41"/>
      <c r="F22" s="41"/>
      <c r="G22" s="41" t="str" cm="1">
        <f t="array" ref="G22">IntelHexChecksum(RIGHT(C22,40))</f>
        <v>CE</v>
      </c>
      <c r="H22" s="41"/>
      <c r="I22" s="41"/>
      <c r="J22" s="46"/>
      <c r="V22" s="65"/>
      <c r="W22" s="99" t="s">
        <v>7</v>
      </c>
      <c r="X22" s="99" t="s">
        <v>7</v>
      </c>
      <c r="Y22" s="99" t="s">
        <v>7</v>
      </c>
      <c r="Z22" s="99" t="s">
        <v>7</v>
      </c>
      <c r="AA22" s="99" t="s">
        <v>7</v>
      </c>
      <c r="AB22" s="99" t="s">
        <v>7</v>
      </c>
      <c r="AC22" s="99" t="s">
        <v>7</v>
      </c>
      <c r="AD22" s="99" t="s">
        <v>7</v>
      </c>
      <c r="AE22" s="99" t="s">
        <v>7</v>
      </c>
      <c r="AF22" s="99" t="s">
        <v>7</v>
      </c>
      <c r="AG22" s="99" t="s">
        <v>7</v>
      </c>
      <c r="AH22" s="99" t="s">
        <v>7</v>
      </c>
      <c r="AI22" s="99" t="s">
        <v>7</v>
      </c>
      <c r="AJ22" s="99" t="s">
        <v>7</v>
      </c>
      <c r="AK22" s="99" t="s">
        <v>7</v>
      </c>
      <c r="AL22" s="98" t="s">
        <v>77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:1074600002035d5e5f606162636465667c030c00</v>
      </c>
      <c r="D23" s="41"/>
      <c r="E23" s="41"/>
      <c r="F23" s="41"/>
      <c r="G23" s="41" t="str" cm="1">
        <f t="array" ref="G23">IntelHexChecksum(RIGHT(C23,40))</f>
        <v>BD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:107470001000383ce041ff41ff808a0102030408</v>
      </c>
      <c r="D24" s="41"/>
      <c r="E24" s="41"/>
      <c r="F24" s="41"/>
      <c r="G24" s="41" t="str" cm="1">
        <f t="array" ref="G24">IntelHexChecksum(RIGHT(C24,40))</f>
        <v>0C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:1074800010181048105810681067d85dc4017880</v>
      </c>
      <c r="D25" s="41"/>
      <c r="E25" s="41"/>
      <c r="F25" s="41"/>
      <c r="G25" s="41" t="str" cm="1">
        <f t="array" ref="G25">IntelHexChecksum(RIGHT(C25,40))</f>
        <v>33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:1074900003e305c301e200fbe40f00c018e60607</v>
      </c>
      <c r="D26" s="41"/>
      <c r="E26" s="41"/>
      <c r="F26" s="41"/>
      <c r="G26" s="41" t="str" cm="1">
        <f t="array" ref="G26">IntelHexChecksum(RIGHT(C26,40))</f>
        <v>A2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:1074A00001000000eb0146d0004704495798A953</v>
      </c>
      <c r="D27" s="41"/>
      <c r="E27" s="41"/>
      <c r="F27" s="41"/>
      <c r="G27" s="41" t="str" cm="1">
        <f t="array" ref="G27">IntelHexChecksum(RIGHT(C27,40))</f>
        <v>5A</v>
      </c>
      <c r="H27" s="41"/>
      <c r="I27" s="41"/>
      <c r="J27" s="46"/>
      <c r="W27" s="99"/>
      <c r="X27" s="98"/>
      <c r="Y27" s="99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:1074B000011d007251d01e206e285500a2e28400</v>
      </c>
      <c r="D28" s="41"/>
      <c r="E28" s="41"/>
      <c r="F28" s="41"/>
      <c r="G28" s="41" t="str" cm="1">
        <f t="array" ref="G28">IntelHexChecksum(RIGHT(C28,40))</f>
        <v>EA</v>
      </c>
      <c r="H28" s="41"/>
      <c r="I28" s="41"/>
      <c r="J28" s="46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:1074C000001e0000000000000000000000000000</v>
      </c>
      <c r="D29" s="41"/>
      <c r="E29" s="41"/>
      <c r="F29" s="41"/>
      <c r="G29" s="41" t="str" cm="1">
        <f t="array" ref="G29">IntelHexChecksum(RIGHT(C29,40))</f>
        <v>9E</v>
      </c>
      <c r="H29" s="41"/>
      <c r="I29" s="41"/>
      <c r="J29" s="46"/>
      <c r="W29" s="99"/>
      <c r="X29" s="99"/>
      <c r="Y29" s="99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8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181</v>
      </c>
      <c r="C30" s="97" t="str">
        <f>_xlfn.CONCAT(":10",RIGHT(B30,4),"00",AK22:AL22,"00FFFFFFFFFFFF00371801000100")</f>
        <v>:1074D000007f00FFFFFFFFFFFF00371801000100</v>
      </c>
      <c r="D30" s="49"/>
      <c r="E30" s="49"/>
      <c r="F30" s="49"/>
      <c r="G30" s="49" t="str" cm="1">
        <f t="array" ref="G30">IntelHexChecksum(RIGHT(C30,40))</f>
        <v>E2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 t="s">
        <v>292</v>
      </c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3" priority="4">
      <formula>$E$7="Not Supported"</formula>
    </cfRule>
  </conditionalFormatting>
  <conditionalFormatting sqref="N7">
    <cfRule type="expression" dxfId="2" priority="3">
      <formula>$P$7="Supported"</formula>
    </cfRule>
  </conditionalFormatting>
  <conditionalFormatting sqref="P7">
    <cfRule type="expression" dxfId="1" priority="2">
      <formula>$N$7="Supported"</formula>
    </cfRule>
  </conditionalFormatting>
  <conditionalFormatting sqref="N7 P7">
    <cfRule type="expression" dxfId="0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EC8F9F5D-564A-40B2-ACB1-D47B108EB4BF}">
      <formula1>$AN$5:$AN$36</formula1>
    </dataValidation>
    <dataValidation type="list" allowBlank="1" showInputMessage="1" showErrorMessage="1" sqref="I7" xr:uid="{DB33F395-C53F-4826-8645-E548D988C677}">
      <formula1>$AR$5:$AR$9</formula1>
    </dataValidation>
    <dataValidation type="list" allowBlank="1" showInputMessage="1" showErrorMessage="1" sqref="I3" xr:uid="{F6CB9B29-59C4-4D24-9517-EC189A7207A6}">
      <formula1>$AU$15:$AU$17</formula1>
    </dataValidation>
    <dataValidation type="list" allowBlank="1" showInputMessage="1" showErrorMessage="1" sqref="L7" xr:uid="{ABC5BBEB-044B-4665-A2D3-E58A43BB1226}">
      <formula1>$AU$5:$AU$8</formula1>
    </dataValidation>
    <dataValidation type="list" allowBlank="1" showInputMessage="1" showErrorMessage="1" sqref="E7:F7 H7 N7 P7" xr:uid="{B0F66616-67E3-43D6-A033-5379FED416E6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1882D-F044-45A7-9609-EC38969C46AD}">
  <sheetPr codeName="Sheet9"/>
  <dimension ref="B2:BC54"/>
  <sheetViews>
    <sheetView zoomScale="90" zoomScaleNormal="90" workbookViewId="0">
      <selection activeCell="O42" sqref="O42"/>
    </sheetView>
  </sheetViews>
  <sheetFormatPr defaultRowHeight="14.4" x14ac:dyDescent="0.3"/>
  <cols>
    <col min="2" max="2" width="10.898437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0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5" customWidth="1"/>
    <col min="21" max="21" width="12.59765625" customWidth="1"/>
    <col min="22" max="22" width="7.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7" t="s">
        <v>33</v>
      </c>
      <c r="I3" s="39" t="s">
        <v>46</v>
      </c>
      <c r="W3" s="67" t="s">
        <v>166</v>
      </c>
    </row>
    <row r="4" spans="2:54" ht="15" thickBot="1" x14ac:dyDescent="0.35">
      <c r="AO4" t="s">
        <v>25</v>
      </c>
      <c r="AP4" t="s">
        <v>26</v>
      </c>
      <c r="AR4" t="s">
        <v>9</v>
      </c>
      <c r="AS4" t="s">
        <v>34</v>
      </c>
      <c r="AU4" t="s">
        <v>35</v>
      </c>
      <c r="AV4" t="s">
        <v>36</v>
      </c>
    </row>
    <row r="5" spans="2:54" ht="15" thickBot="1" x14ac:dyDescent="0.35">
      <c r="B5" s="63" t="s">
        <v>68</v>
      </c>
      <c r="C5" s="103" t="str">
        <f>DEC2HEX(_xlfn.BITLSHIFT(BIN2DEC(C8),5)+_xlfn.BITLSHIFT(BIN2DEC(D8),2)+_xlfn.BITLSHIFT(BIN2DEC(E8),1)+BIN2DEC(F8))</f>
        <v>45</v>
      </c>
      <c r="D5" s="103"/>
      <c r="E5" s="103"/>
      <c r="F5" s="104"/>
      <c r="G5" s="105" t="str">
        <f>DEC2HEX(_xlfn.BITLSHIFT(BIN2DEC(G8),3)+_xlfn.BITLSHIFT(BIN2DEC(H8),2)+BIN2DEC(I8),2)</f>
        <v>03</v>
      </c>
      <c r="H5" s="101"/>
      <c r="I5" s="102"/>
      <c r="J5" s="105" t="str">
        <f>DEC2HEX(_xlfn.BITLSHIFT(BIN2DEC(J8),3)+_xlfn.BITLSHIFT(BIN2DEC(K8),1)+BIN2DEC(L8),2)</f>
        <v>58</v>
      </c>
      <c r="K5" s="101"/>
      <c r="L5" s="102"/>
      <c r="M5" s="101" t="str">
        <f>BIN2HEX(_xlfn.CONCAT(M8,N8),2)</f>
        <v>86</v>
      </c>
      <c r="N5" s="102"/>
      <c r="O5" s="101" t="str">
        <f>BIN2HEX(_xlfn.CONCAT(O8,P8),2)</f>
        <v>60</v>
      </c>
      <c r="P5" s="102"/>
      <c r="Q5" s="101" t="str">
        <f>BIN2HEX(_xlfn.CONCAT(Q8,R8),2)</f>
        <v>76</v>
      </c>
      <c r="R5" s="102"/>
      <c r="S5" s="101" t="str">
        <f>BIN2HEX(_xlfn.CONCAT(S8,T8),2)</f>
        <v>8F</v>
      </c>
      <c r="T5" s="102"/>
      <c r="W5" s="86">
        <v>0</v>
      </c>
      <c r="X5" s="87">
        <v>1</v>
      </c>
      <c r="Y5" s="87">
        <v>2</v>
      </c>
      <c r="Z5" s="87">
        <v>3</v>
      </c>
      <c r="AA5" s="87">
        <v>4</v>
      </c>
      <c r="AB5" s="87">
        <v>5</v>
      </c>
      <c r="AC5" s="87">
        <v>6</v>
      </c>
      <c r="AD5" s="87">
        <v>7</v>
      </c>
      <c r="AE5" s="87">
        <v>8</v>
      </c>
      <c r="AF5" s="87">
        <v>9</v>
      </c>
      <c r="AG5" s="87">
        <v>10</v>
      </c>
      <c r="AH5" s="87">
        <v>11</v>
      </c>
      <c r="AI5" s="87">
        <v>12</v>
      </c>
      <c r="AJ5" s="87">
        <v>13</v>
      </c>
      <c r="AK5" s="87">
        <v>14</v>
      </c>
      <c r="AL5" s="88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R5" s="14" t="s">
        <v>22</v>
      </c>
      <c r="AS5" s="13" t="s">
        <v>7</v>
      </c>
      <c r="AU5" s="15" t="s">
        <v>37</v>
      </c>
      <c r="AV5" s="6" t="s">
        <v>7</v>
      </c>
    </row>
    <row r="6" spans="2:54" ht="30.55" customHeight="1" x14ac:dyDescent="0.3">
      <c r="B6" s="62" t="s">
        <v>69</v>
      </c>
      <c r="C6" s="58" t="s">
        <v>10</v>
      </c>
      <c r="D6" s="32" t="s">
        <v>12</v>
      </c>
      <c r="E6" s="33" t="s">
        <v>17</v>
      </c>
      <c r="F6" s="34" t="s">
        <v>8</v>
      </c>
      <c r="G6" s="35" t="s">
        <v>62</v>
      </c>
      <c r="H6" s="33" t="s">
        <v>42</v>
      </c>
      <c r="I6" s="36" t="s">
        <v>61</v>
      </c>
      <c r="J6" s="35" t="s">
        <v>63</v>
      </c>
      <c r="K6" s="32" t="s">
        <v>11</v>
      </c>
      <c r="L6" s="34" t="s">
        <v>39</v>
      </c>
      <c r="M6" s="32" t="s">
        <v>60</v>
      </c>
      <c r="N6" s="34" t="s">
        <v>24</v>
      </c>
      <c r="O6" s="32" t="s">
        <v>59</v>
      </c>
      <c r="P6" s="34" t="s">
        <v>23</v>
      </c>
      <c r="Q6" s="32" t="s">
        <v>58</v>
      </c>
      <c r="R6" s="34" t="s">
        <v>14</v>
      </c>
      <c r="S6" s="32" t="s">
        <v>57</v>
      </c>
      <c r="T6" s="34" t="s">
        <v>13</v>
      </c>
      <c r="V6" s="67" t="s">
        <v>70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R6" s="14" t="s">
        <v>21</v>
      </c>
      <c r="AS6" s="13" t="s">
        <v>6</v>
      </c>
      <c r="AU6" s="15" t="s">
        <v>38</v>
      </c>
      <c r="AV6" s="6" t="s">
        <v>6</v>
      </c>
    </row>
    <row r="7" spans="2:54" x14ac:dyDescent="0.3">
      <c r="B7" s="61"/>
      <c r="C7" s="59">
        <v>2</v>
      </c>
      <c r="D7" s="11" t="s">
        <v>20</v>
      </c>
      <c r="E7" s="16" t="s">
        <v>19</v>
      </c>
      <c r="F7" s="16" t="s">
        <v>18</v>
      </c>
      <c r="G7" s="10">
        <v>0</v>
      </c>
      <c r="H7" s="16" t="s">
        <v>19</v>
      </c>
      <c r="I7" s="17" t="s">
        <v>28</v>
      </c>
      <c r="J7" s="28">
        <v>518</v>
      </c>
      <c r="K7" s="29">
        <v>0</v>
      </c>
      <c r="L7" s="18" t="s">
        <v>37</v>
      </c>
      <c r="M7" s="25">
        <f>INDEX(AX15:AX17,MATCH(I3,AU15:AU17,0))</f>
        <v>0.26500000000000001</v>
      </c>
      <c r="N7" s="38" t="s">
        <v>19</v>
      </c>
      <c r="O7" s="26">
        <f>INDEX(AY15:AY17,MATCH($I$3,$AU$15:$AU$17,0))</f>
        <v>0.69</v>
      </c>
      <c r="P7" s="38" t="s">
        <v>19</v>
      </c>
      <c r="Q7" s="26">
        <f>INDEX(AV15:AV17,MATCH($I$3,$AU$15:$AU$17,0))</f>
        <v>0.68</v>
      </c>
      <c r="R7" s="27">
        <f>INDEX(AZ15:AZ17,MATCH($I$3,$AU$15:$AU$17,0))</f>
        <v>0.15</v>
      </c>
      <c r="S7" s="25">
        <f>INDEX(AW15:AW17,MATCH($I$3,$AU$15:$AU$17,0))</f>
        <v>0.32</v>
      </c>
      <c r="T7" s="27">
        <f>INDEX(BA15:BA17,MATCH($I$3,$AU$15:$AU$17,0))</f>
        <v>0.06</v>
      </c>
      <c r="V7" s="65"/>
      <c r="W7" s="65" t="s">
        <v>7</v>
      </c>
      <c r="X7" s="65" t="s">
        <v>129</v>
      </c>
      <c r="Y7" s="65" t="s">
        <v>129</v>
      </c>
      <c r="Z7" s="65" t="s">
        <v>129</v>
      </c>
      <c r="AA7" s="65" t="s">
        <v>129</v>
      </c>
      <c r="AB7" s="65" t="s">
        <v>129</v>
      </c>
      <c r="AC7" s="65" t="s">
        <v>129</v>
      </c>
      <c r="AD7" s="65" t="s">
        <v>7</v>
      </c>
      <c r="AE7" s="65" t="s">
        <v>137</v>
      </c>
      <c r="AF7" s="65" t="s">
        <v>131</v>
      </c>
      <c r="AG7" s="65" t="s">
        <v>90</v>
      </c>
      <c r="AH7" s="65" t="s">
        <v>185</v>
      </c>
      <c r="AI7" s="65" t="s">
        <v>6</v>
      </c>
      <c r="AJ7" s="65" t="s">
        <v>6</v>
      </c>
      <c r="AK7" s="65" t="s">
        <v>6</v>
      </c>
      <c r="AL7" s="65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R7" s="14" t="s">
        <v>27</v>
      </c>
      <c r="AS7" s="13" t="s">
        <v>29</v>
      </c>
      <c r="AU7" s="15" t="s">
        <v>40</v>
      </c>
      <c r="AV7" s="6" t="s">
        <v>29</v>
      </c>
    </row>
    <row r="8" spans="2:54" s="7" customFormat="1" ht="15" thickBot="1" x14ac:dyDescent="0.35">
      <c r="B8" s="64"/>
      <c r="C8" s="60" t="s">
        <v>15</v>
      </c>
      <c r="D8" s="19" t="s">
        <v>16</v>
      </c>
      <c r="E8" s="20">
        <f>IF(EXACT(E7,"Supported"),1,0)</f>
        <v>0</v>
      </c>
      <c r="F8" s="20">
        <f>IF(EXACT(F7,"Supported"),1,0)</f>
        <v>1</v>
      </c>
      <c r="G8" s="12" t="s">
        <v>32</v>
      </c>
      <c r="H8" s="20">
        <f>IF(EXACT(H7,"Supported"),1,0)</f>
        <v>0</v>
      </c>
      <c r="I8" s="21" t="str">
        <f>IF(EXACT(E7,"Not Supported"),"11",INDEX(AS5:AS8,MATCH(I7,AR5:AR8,0)))</f>
        <v>11</v>
      </c>
      <c r="J8" s="22" t="str">
        <f>DEC2BIN(VLOOKUP(J7,AN5:AO36,2),5)</f>
        <v>01011</v>
      </c>
      <c r="K8" s="30">
        <v>0</v>
      </c>
      <c r="L8" s="21" t="str">
        <f>VLOOKUP(L7,AU5:AV8,2)</f>
        <v>00</v>
      </c>
      <c r="M8" s="31" t="str">
        <f>DEC2BIN(M7/( 0.49609375/127),7)</f>
        <v>1000011</v>
      </c>
      <c r="N8" s="23">
        <f>IF(AND(EXACT(N7,"Supported"),EXACT(P7,"Not Supported")),1,0)</f>
        <v>0</v>
      </c>
      <c r="O8" s="31" t="str">
        <f>DEC2BIN((O7-0.5)/((0.99609375-0.5)/127),7)</f>
        <v>0110000</v>
      </c>
      <c r="P8" s="23">
        <f>IF(AND(EXACT(P7,"Supported"),EXACT(N7,"Not Supported")),1,0)</f>
        <v>0</v>
      </c>
      <c r="Q8" s="22" t="str">
        <f>DEC2BIN((Q7-0.625)/((0.74609375-0.625)/31),5)</f>
        <v>01110</v>
      </c>
      <c r="R8" s="21" t="str">
        <f>DEC2BIN((R7-0.125)/((0.15234375-0.125)/7),3)</f>
        <v>110</v>
      </c>
      <c r="S8" s="22" t="str">
        <f>DEC2BIN((S7-0.25)/((0.37109375-0.25)/31),5)</f>
        <v>10001</v>
      </c>
      <c r="T8" s="21" t="str">
        <f>DEC2BIN((T7-0.03125)/((0.05859375-0.03125)/7),3)</f>
        <v>111</v>
      </c>
      <c r="V8" s="65"/>
      <c r="W8" s="65" t="s">
        <v>192</v>
      </c>
      <c r="X8" s="65" t="s">
        <v>186</v>
      </c>
      <c r="Y8" s="65" t="s">
        <v>6</v>
      </c>
      <c r="Z8" s="65" t="s">
        <v>91</v>
      </c>
      <c r="AA8" s="65" t="s">
        <v>114</v>
      </c>
      <c r="AB8" s="65" t="s">
        <v>7</v>
      </c>
      <c r="AC8" s="65" t="s">
        <v>7</v>
      </c>
      <c r="AD8" s="65" t="s">
        <v>115</v>
      </c>
      <c r="AE8" s="65" t="s">
        <v>187</v>
      </c>
      <c r="AF8" s="65" t="s">
        <v>188</v>
      </c>
      <c r="AG8" s="65" t="s">
        <v>108</v>
      </c>
      <c r="AH8" s="65" t="s">
        <v>131</v>
      </c>
      <c r="AI8" s="65" t="s">
        <v>194</v>
      </c>
      <c r="AJ8" s="65" t="s">
        <v>137</v>
      </c>
      <c r="AK8" s="65" t="s">
        <v>195</v>
      </c>
      <c r="AL8" s="65" t="s">
        <v>192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R8" s="13" t="s">
        <v>28</v>
      </c>
      <c r="AS8" s="13" t="s">
        <v>30</v>
      </c>
      <c r="AU8" s="15" t="s">
        <v>41</v>
      </c>
      <c r="AV8" s="8" t="s">
        <v>30</v>
      </c>
    </row>
    <row r="9" spans="2:54" ht="15" thickBot="1" x14ac:dyDescent="0.35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65"/>
      <c r="W9" s="65" t="s">
        <v>76</v>
      </c>
      <c r="X9" s="65" t="s">
        <v>108</v>
      </c>
      <c r="Y9" s="65" t="s">
        <v>194</v>
      </c>
      <c r="Z9" s="65" t="s">
        <v>104</v>
      </c>
      <c r="AA9" s="65" t="s">
        <v>7</v>
      </c>
      <c r="AB9" s="65" t="s">
        <v>7</v>
      </c>
      <c r="AC9" s="65" t="s">
        <v>6</v>
      </c>
      <c r="AD9" s="65" t="s">
        <v>6</v>
      </c>
      <c r="AE9" s="65" t="s">
        <v>6</v>
      </c>
      <c r="AF9" s="65" t="s">
        <v>6</v>
      </c>
      <c r="AG9" s="65" t="s">
        <v>6</v>
      </c>
      <c r="AH9" s="65" t="s">
        <v>6</v>
      </c>
      <c r="AI9" s="65" t="s">
        <v>6</v>
      </c>
      <c r="AJ9" s="65" t="s">
        <v>6</v>
      </c>
      <c r="AK9" s="65" t="s">
        <v>6</v>
      </c>
      <c r="AL9" s="65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R9" s="5" t="s">
        <v>31</v>
      </c>
      <c r="AS9">
        <v>11</v>
      </c>
    </row>
    <row r="10" spans="2:54" x14ac:dyDescent="0.3">
      <c r="B10" s="51" t="s">
        <v>65</v>
      </c>
      <c r="C10" s="42" t="s">
        <v>67</v>
      </c>
      <c r="D10" s="43"/>
      <c r="E10" s="43"/>
      <c r="F10" s="43"/>
      <c r="G10" s="43"/>
      <c r="H10" s="43"/>
      <c r="I10" s="43"/>
      <c r="J10" s="44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65"/>
      <c r="W10" s="65" t="s">
        <v>6</v>
      </c>
      <c r="X10" s="65" t="s">
        <v>6</v>
      </c>
      <c r="Y10" s="65" t="s">
        <v>6</v>
      </c>
      <c r="Z10" s="65" t="s">
        <v>6</v>
      </c>
      <c r="AA10" s="65" t="s">
        <v>6</v>
      </c>
      <c r="AB10" s="65" t="s">
        <v>6</v>
      </c>
      <c r="AC10" s="65" t="s">
        <v>97</v>
      </c>
      <c r="AD10" s="65" t="s">
        <v>136</v>
      </c>
      <c r="AE10" s="65" t="s">
        <v>7</v>
      </c>
      <c r="AF10" s="65" t="s">
        <v>147</v>
      </c>
      <c r="AG10" s="65" t="s">
        <v>73</v>
      </c>
      <c r="AH10" s="65" t="s">
        <v>148</v>
      </c>
      <c r="AI10" s="65" t="s">
        <v>149</v>
      </c>
      <c r="AJ10" s="65" t="s">
        <v>114</v>
      </c>
      <c r="AK10" s="65" t="s">
        <v>138</v>
      </c>
      <c r="AL10" s="65" t="s">
        <v>150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ht="15" thickBot="1" x14ac:dyDescent="0.35">
      <c r="B11" s="52" t="s">
        <v>66</v>
      </c>
      <c r="C11" s="40" t="s">
        <v>258</v>
      </c>
      <c r="D11" s="9"/>
      <c r="E11" s="9"/>
      <c r="F11" s="9"/>
      <c r="G11" s="9"/>
      <c r="H11" s="9"/>
      <c r="I11" s="9"/>
      <c r="J11" s="45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65"/>
      <c r="W11" s="65" t="s">
        <v>121</v>
      </c>
      <c r="X11" s="65" t="s">
        <v>7</v>
      </c>
      <c r="Y11" s="65" t="s">
        <v>106</v>
      </c>
      <c r="Z11" s="65" t="s">
        <v>196</v>
      </c>
      <c r="AA11" s="65" t="s">
        <v>197</v>
      </c>
      <c r="AB11" s="65" t="s">
        <v>7</v>
      </c>
      <c r="AC11" s="65" t="s">
        <v>7</v>
      </c>
      <c r="AD11" s="65" t="s">
        <v>79</v>
      </c>
      <c r="AE11" s="65" t="s">
        <v>90</v>
      </c>
      <c r="AF11" s="65" t="s">
        <v>152</v>
      </c>
      <c r="AG11" s="65" t="s">
        <v>114</v>
      </c>
      <c r="AH11" s="65" t="s">
        <v>128</v>
      </c>
      <c r="AI11" s="65" t="s">
        <v>153</v>
      </c>
      <c r="AJ11" s="65" t="s">
        <v>113</v>
      </c>
      <c r="AK11" s="65" t="s">
        <v>123</v>
      </c>
      <c r="AL11" s="65" t="s">
        <v>106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55" t="s">
        <v>0</v>
      </c>
      <c r="C12" s="56" t="str">
        <f>_xlfn.CONCAT(B5:T5)</f>
        <v>EB0146D0004503588660768F</v>
      </c>
      <c r="D12" s="56"/>
      <c r="E12" s="56"/>
      <c r="F12" s="56"/>
      <c r="G12" s="56"/>
      <c r="H12" s="56"/>
      <c r="I12" s="56"/>
      <c r="J12" s="57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65"/>
      <c r="W12" s="65" t="s">
        <v>150</v>
      </c>
      <c r="X12" s="65" t="s">
        <v>154</v>
      </c>
      <c r="Y12" s="65" t="s">
        <v>144</v>
      </c>
      <c r="Z12" s="65" t="s">
        <v>7</v>
      </c>
      <c r="AA12" s="65" t="s">
        <v>106</v>
      </c>
      <c r="AB12" s="65" t="s">
        <v>196</v>
      </c>
      <c r="AC12" s="65" t="s">
        <v>197</v>
      </c>
      <c r="AD12" s="65" t="s">
        <v>7</v>
      </c>
      <c r="AE12" s="65" t="s">
        <v>7</v>
      </c>
      <c r="AF12" s="65" t="s">
        <v>79</v>
      </c>
      <c r="AG12" s="65" t="s">
        <v>7</v>
      </c>
      <c r="AH12" s="65" t="s">
        <v>7</v>
      </c>
      <c r="AI12" s="65" t="s">
        <v>7</v>
      </c>
      <c r="AJ12" s="65" t="s">
        <v>160</v>
      </c>
      <c r="AK12" s="65" t="s">
        <v>7</v>
      </c>
      <c r="AL12" s="65" t="s">
        <v>128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s="53" t="s">
        <v>64</v>
      </c>
      <c r="C13" s="47" t="str" cm="1">
        <f t="array" ref="C13">EDIDCheckSum(C12)</f>
        <v>4D</v>
      </c>
      <c r="D13" s="41"/>
      <c r="E13" s="41"/>
      <c r="F13" s="41"/>
      <c r="G13" s="41"/>
      <c r="H13" s="41"/>
      <c r="I13" s="41"/>
      <c r="J13" s="46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65"/>
      <c r="W13" s="65" t="s">
        <v>193</v>
      </c>
      <c r="X13" s="65" t="s">
        <v>76</v>
      </c>
      <c r="Y13" s="65" t="s">
        <v>162</v>
      </c>
      <c r="Z13" s="65" t="s">
        <v>79</v>
      </c>
      <c r="AA13" s="65" t="s">
        <v>7</v>
      </c>
      <c r="AB13" s="65" t="s">
        <v>119</v>
      </c>
      <c r="AC13" s="65" t="s">
        <v>104</v>
      </c>
      <c r="AD13" s="65" t="s">
        <v>104</v>
      </c>
      <c r="AE13" s="65" t="s">
        <v>104</v>
      </c>
      <c r="AF13" s="65" t="s">
        <v>104</v>
      </c>
      <c r="AG13" s="65" t="s">
        <v>104</v>
      </c>
      <c r="AH13" s="65" t="s">
        <v>104</v>
      </c>
      <c r="AI13" s="65" t="s">
        <v>7</v>
      </c>
      <c r="AJ13" s="65" t="s">
        <v>7</v>
      </c>
      <c r="AK13" s="65" t="s">
        <v>7</v>
      </c>
      <c r="AL13" s="65" t="s">
        <v>155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54" t="s">
        <v>167</v>
      </c>
      <c r="C14" s="93" t="str">
        <f>_xlfn.CONCAT(":1073D0000086",_xlfn.CONCAT(W7:AJ7))</f>
        <v>:1073D000008600ffffffffffff004ca302a80101</v>
      </c>
      <c r="D14" s="41"/>
      <c r="E14" s="41"/>
      <c r="F14" s="41"/>
      <c r="G14" s="41" t="str" cm="1">
        <f t="array" ref="G14">IntelHexChecksum(RIGHT(C14,40))</f>
        <v>92</v>
      </c>
      <c r="H14" s="41"/>
      <c r="I14" s="41"/>
      <c r="J14" s="46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65"/>
      <c r="W14" s="65" t="s">
        <v>7</v>
      </c>
      <c r="X14" s="65" t="s">
        <v>144</v>
      </c>
      <c r="Y14" s="65" t="s">
        <v>108</v>
      </c>
      <c r="Z14" s="65" t="s">
        <v>92</v>
      </c>
      <c r="AA14" s="65" t="s">
        <v>158</v>
      </c>
      <c r="AB14" s="65" t="s">
        <v>189</v>
      </c>
      <c r="AC14" s="65" t="s">
        <v>104</v>
      </c>
      <c r="AD14" s="65" t="s">
        <v>108</v>
      </c>
      <c r="AE14" s="65" t="s">
        <v>190</v>
      </c>
      <c r="AF14" s="65" t="s">
        <v>119</v>
      </c>
      <c r="AG14" s="65" t="s">
        <v>104</v>
      </c>
      <c r="AH14" s="65" t="s">
        <v>104</v>
      </c>
      <c r="AI14" s="65" t="s">
        <v>104</v>
      </c>
      <c r="AJ14" s="65" t="s">
        <v>104</v>
      </c>
      <c r="AK14" s="65" t="s">
        <v>6</v>
      </c>
      <c r="AL14" s="65" t="s">
        <v>191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U14" t="s">
        <v>43</v>
      </c>
      <c r="AV14" t="s">
        <v>47</v>
      </c>
      <c r="AW14" t="s">
        <v>48</v>
      </c>
      <c r="AX14" t="s">
        <v>49</v>
      </c>
      <c r="AY14" t="s">
        <v>50</v>
      </c>
      <c r="AZ14" t="s">
        <v>51</v>
      </c>
      <c r="BA14" t="s">
        <v>52</v>
      </c>
      <c r="BB14" t="s">
        <v>56</v>
      </c>
    </row>
    <row r="15" spans="2:54" x14ac:dyDescent="0.3">
      <c r="B15" s="54" t="s">
        <v>168</v>
      </c>
      <c r="C15" s="93" t="str">
        <f>_xlfn.CONCAT(":10",RIGHT(B15,4),"00",AK7:AL7,W8:AJ8)</f>
        <v>:1073E0000101261a0103800000780ede50a3544c</v>
      </c>
      <c r="D15" s="41"/>
      <c r="E15" s="41"/>
      <c r="F15" s="41"/>
      <c r="G15" s="41" t="str" cm="1">
        <f t="array" ref="G15">IntelHexChecksum(RIGHT(C15,40))</f>
        <v>E0</v>
      </c>
      <c r="H15" s="41"/>
      <c r="I15" s="41"/>
      <c r="J15" s="46"/>
      <c r="V15" s="67" t="s">
        <v>71</v>
      </c>
      <c r="W15" s="65" t="s">
        <v>90</v>
      </c>
      <c r="X15" s="65" t="s">
        <v>91</v>
      </c>
      <c r="Y15" s="98" t="s">
        <v>244</v>
      </c>
      <c r="Z15" s="65" t="s">
        <v>242</v>
      </c>
      <c r="AA15" s="65" t="s">
        <v>198</v>
      </c>
      <c r="AB15" s="65" t="s">
        <v>199</v>
      </c>
      <c r="AC15" s="65" t="s">
        <v>74</v>
      </c>
      <c r="AD15" s="65" t="s">
        <v>104</v>
      </c>
      <c r="AE15" s="65" t="s">
        <v>105</v>
      </c>
      <c r="AF15" s="65" t="s">
        <v>98</v>
      </c>
      <c r="AG15" s="65" t="s">
        <v>102</v>
      </c>
      <c r="AH15" s="65" t="s">
        <v>97</v>
      </c>
      <c r="AI15" s="65" t="s">
        <v>101</v>
      </c>
      <c r="AJ15" s="65" t="s">
        <v>91</v>
      </c>
      <c r="AK15" s="65" t="s">
        <v>90</v>
      </c>
      <c r="AL15" s="65" t="s">
        <v>100</v>
      </c>
      <c r="AM15">
        <v>16</v>
      </c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U15" s="6" t="s">
        <v>44</v>
      </c>
      <c r="AV15" s="24">
        <v>0.64</v>
      </c>
      <c r="AW15" s="24">
        <v>0.33</v>
      </c>
      <c r="AX15" s="24">
        <v>0.3</v>
      </c>
      <c r="AY15" s="24">
        <v>0.6</v>
      </c>
      <c r="AZ15" s="24">
        <v>0.15</v>
      </c>
      <c r="BA15" s="24">
        <v>0.06</v>
      </c>
      <c r="BB15" t="s">
        <v>55</v>
      </c>
    </row>
    <row r="16" spans="2:54" x14ac:dyDescent="0.3">
      <c r="B16" s="54" t="s">
        <v>169</v>
      </c>
      <c r="C16" s="93" t="str">
        <f t="shared" ref="C16:C29" si="2">_xlfn.CONCAT(":10",RIGHT(B16,4),"00",AK8:AL8,W9:AJ9)</f>
        <v>:1073F00099260f50542000000101010101010101</v>
      </c>
      <c r="D16" s="41"/>
      <c r="E16" s="41"/>
      <c r="F16" s="41"/>
      <c r="G16" s="41" t="str" cm="1">
        <f t="array" ref="G16">IntelHexChecksum(RIGHT(C16,40))</f>
        <v>F3</v>
      </c>
      <c r="H16" s="41"/>
      <c r="I16" s="41"/>
      <c r="J16" s="46"/>
      <c r="V16" s="65"/>
      <c r="W16" s="65" t="s">
        <v>30</v>
      </c>
      <c r="X16" s="65" t="s">
        <v>99</v>
      </c>
      <c r="Y16" s="65" t="s">
        <v>116</v>
      </c>
      <c r="Z16" s="65" t="s">
        <v>103</v>
      </c>
      <c r="AA16" s="65" t="s">
        <v>109</v>
      </c>
      <c r="AB16" s="65" t="s">
        <v>80</v>
      </c>
      <c r="AC16" s="65" t="s">
        <v>200</v>
      </c>
      <c r="AD16" s="65" t="s">
        <v>72</v>
      </c>
      <c r="AE16" s="65" t="s">
        <v>201</v>
      </c>
      <c r="AF16" s="65" t="s">
        <v>6</v>
      </c>
      <c r="AG16" s="65" t="s">
        <v>76</v>
      </c>
      <c r="AH16" s="65" t="s">
        <v>187</v>
      </c>
      <c r="AI16" s="65" t="s">
        <v>79</v>
      </c>
      <c r="AJ16" s="65" t="s">
        <v>151</v>
      </c>
      <c r="AK16" s="65" t="s">
        <v>202</v>
      </c>
      <c r="AL16" s="65" t="s">
        <v>91</v>
      </c>
      <c r="AM16">
        <v>32</v>
      </c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U16" s="6" t="s">
        <v>45</v>
      </c>
      <c r="AV16" s="24">
        <v>0.70799999999999996</v>
      </c>
      <c r="AW16" s="24">
        <v>0.29199999999999998</v>
      </c>
      <c r="AX16" s="24">
        <v>0.17</v>
      </c>
      <c r="AY16" s="24">
        <v>0.79700000000000004</v>
      </c>
      <c r="AZ16" s="24">
        <v>0.13100000000000001</v>
      </c>
      <c r="BA16" s="24">
        <v>4.5999999999999999E-2</v>
      </c>
      <c r="BB16" t="s">
        <v>53</v>
      </c>
    </row>
    <row r="17" spans="2:54" x14ac:dyDescent="0.3">
      <c r="B17" s="54" t="s">
        <v>170</v>
      </c>
      <c r="C17" s="93" t="str">
        <f t="shared" si="2"/>
        <v>:10740000010101010101010104740030f2705a80</v>
      </c>
      <c r="D17" s="41"/>
      <c r="E17" s="41"/>
      <c r="F17" s="41"/>
      <c r="G17" s="41" t="str" cm="1">
        <f t="array" ref="G17">IntelHexChecksum(RIGHT(C17,40))</f>
        <v>90</v>
      </c>
      <c r="H17" s="41"/>
      <c r="I17" s="41"/>
      <c r="J17" s="46"/>
      <c r="V17" s="65"/>
      <c r="W17" s="65" t="s">
        <v>85</v>
      </c>
      <c r="X17" s="65" t="s">
        <v>7</v>
      </c>
      <c r="Y17" s="65" t="s">
        <v>127</v>
      </c>
      <c r="Z17" s="65" t="s">
        <v>7</v>
      </c>
      <c r="AA17" s="65" t="s">
        <v>203</v>
      </c>
      <c r="AB17" s="65" t="s">
        <v>86</v>
      </c>
      <c r="AC17" s="65" t="s">
        <v>122</v>
      </c>
      <c r="AD17" s="65" t="s">
        <v>204</v>
      </c>
      <c r="AE17" s="65" t="s">
        <v>129</v>
      </c>
      <c r="AF17" s="65" t="s">
        <v>190</v>
      </c>
      <c r="AG17" s="65" t="s">
        <v>129</v>
      </c>
      <c r="AH17" s="65" t="s">
        <v>83</v>
      </c>
      <c r="AI17" s="65" t="s">
        <v>196</v>
      </c>
      <c r="AJ17" s="65" t="s">
        <v>6</v>
      </c>
      <c r="AK17" s="65" t="s">
        <v>90</v>
      </c>
      <c r="AL17" s="65" t="s">
        <v>91</v>
      </c>
      <c r="AM17">
        <v>48</v>
      </c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U17" s="6" t="s">
        <v>46</v>
      </c>
      <c r="AV17" s="24">
        <v>0.68</v>
      </c>
      <c r="AW17" s="24">
        <v>0.32</v>
      </c>
      <c r="AX17" s="24">
        <v>0.26500000000000001</v>
      </c>
      <c r="AY17" s="24">
        <v>0.69</v>
      </c>
      <c r="AZ17" s="24">
        <v>0.15</v>
      </c>
      <c r="BA17" s="24">
        <v>0.06</v>
      </c>
      <c r="BB17" t="s">
        <v>54</v>
      </c>
    </row>
    <row r="18" spans="2:54" x14ac:dyDescent="0.3">
      <c r="B18" s="54" t="s">
        <v>171</v>
      </c>
      <c r="C18" s="93" t="str">
        <f t="shared" si="2"/>
        <v>:10741000b0588a0040846300001e023a80187138</v>
      </c>
      <c r="D18" s="41"/>
      <c r="E18" s="41"/>
      <c r="F18" s="41"/>
      <c r="G18" s="41" t="str" cm="1">
        <f t="array" ref="G18">IntelHexChecksum(RIGHT(C18,40))</f>
        <v>18</v>
      </c>
      <c r="H18" s="41"/>
      <c r="I18" s="41"/>
      <c r="J18" s="46"/>
      <c r="V18" s="65"/>
      <c r="W18" s="65" t="s">
        <v>97</v>
      </c>
      <c r="X18" s="65" t="s">
        <v>6</v>
      </c>
      <c r="Y18" s="65" t="s">
        <v>7</v>
      </c>
      <c r="Z18" s="65" t="s">
        <v>7</v>
      </c>
      <c r="AA18" s="65" t="s">
        <v>205</v>
      </c>
      <c r="AB18" s="65" t="s">
        <v>82</v>
      </c>
      <c r="AC18" s="65" t="s">
        <v>98</v>
      </c>
      <c r="AD18" s="65" t="s">
        <v>83</v>
      </c>
      <c r="AE18" s="65" t="s">
        <v>7</v>
      </c>
      <c r="AF18" s="65" t="s">
        <v>87</v>
      </c>
      <c r="AG18" s="65" t="s">
        <v>7</v>
      </c>
      <c r="AH18" s="65" t="s">
        <v>206</v>
      </c>
      <c r="AI18" s="65" t="s">
        <v>207</v>
      </c>
      <c r="AJ18" s="65" t="s">
        <v>187</v>
      </c>
      <c r="AK18" s="65" t="s">
        <v>94</v>
      </c>
      <c r="AL18" s="65" t="s">
        <v>93</v>
      </c>
      <c r="AM18">
        <v>64</v>
      </c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B19" s="54" t="s">
        <v>172</v>
      </c>
      <c r="C19" s="93" t="str">
        <f t="shared" si="2"/>
        <v>:107420002d40582c450040846300001e000000fd</v>
      </c>
      <c r="D19" s="41"/>
      <c r="E19" s="41"/>
      <c r="F19" s="41"/>
      <c r="G19" s="41" t="str" cm="1">
        <f t="array" ref="G19">IntelHexChecksum(RIGHT(C19,40))</f>
        <v>E4</v>
      </c>
      <c r="H19" s="41"/>
      <c r="I19" s="41"/>
      <c r="J19" s="46"/>
      <c r="V19" s="65"/>
      <c r="W19" s="99" t="s">
        <v>95</v>
      </c>
      <c r="X19" s="99" t="s">
        <v>96</v>
      </c>
      <c r="Y19" s="99" t="s">
        <v>82</v>
      </c>
      <c r="Z19" s="99" t="s">
        <v>116</v>
      </c>
      <c r="AA19" s="99" t="s">
        <v>98</v>
      </c>
      <c r="AB19" s="99" t="s">
        <v>6</v>
      </c>
      <c r="AC19" s="98" t="s">
        <v>208</v>
      </c>
      <c r="AD19" s="98" t="s">
        <v>6</v>
      </c>
      <c r="AE19" s="98" t="s">
        <v>183</v>
      </c>
      <c r="AF19" s="98" t="s">
        <v>120</v>
      </c>
      <c r="AG19" s="98" t="s">
        <v>7</v>
      </c>
      <c r="AH19" s="100" t="str">
        <f>C5</f>
        <v>45</v>
      </c>
      <c r="AI19" s="100" t="str">
        <f>G5</f>
        <v>03</v>
      </c>
      <c r="AJ19" s="100" t="str">
        <f>J5</f>
        <v>58</v>
      </c>
      <c r="AK19" s="100" t="str">
        <f>M5</f>
        <v>86</v>
      </c>
      <c r="AL19" s="100" t="str">
        <f>O5</f>
        <v>60</v>
      </c>
      <c r="AM19">
        <v>80</v>
      </c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B20" s="54" t="s">
        <v>173</v>
      </c>
      <c r="C20" s="93" t="str">
        <f t="shared" si="2"/>
        <v>:107430000018550f871e000a2020202020200000</v>
      </c>
      <c r="D20" s="41"/>
      <c r="E20" s="41"/>
      <c r="F20" s="41"/>
      <c r="G20" s="41" t="str" cm="1">
        <f t="array" ref="G20">IntelHexChecksum(RIGHT(C20,40))</f>
        <v>61</v>
      </c>
      <c r="H20" s="41"/>
      <c r="I20" s="41"/>
      <c r="J20" s="46"/>
      <c r="V20" s="65"/>
      <c r="W20" s="100" t="str">
        <f>Q5</f>
        <v>76</v>
      </c>
      <c r="X20" s="100" t="str">
        <f>S5</f>
        <v>8F</v>
      </c>
      <c r="Y20" s="99" t="s">
        <v>7</v>
      </c>
      <c r="Z20" s="99" t="s">
        <v>7</v>
      </c>
      <c r="AA20" s="99" t="s">
        <v>7</v>
      </c>
      <c r="AB20" s="99" t="s">
        <v>7</v>
      </c>
      <c r="AC20" s="99" t="s">
        <v>7</v>
      </c>
      <c r="AD20" s="99" t="s">
        <v>7</v>
      </c>
      <c r="AE20" s="99" t="s">
        <v>7</v>
      </c>
      <c r="AF20" s="99" t="s">
        <v>7</v>
      </c>
      <c r="AG20" s="99" t="s">
        <v>7</v>
      </c>
      <c r="AH20" s="99" t="s">
        <v>7</v>
      </c>
      <c r="AI20" s="99" t="s">
        <v>7</v>
      </c>
      <c r="AJ20" s="99" t="s">
        <v>7</v>
      </c>
      <c r="AK20" s="99" t="s">
        <v>7</v>
      </c>
      <c r="AL20" s="99" t="s">
        <v>7</v>
      </c>
      <c r="AM20">
        <v>96</v>
      </c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B21" s="54" t="s">
        <v>174</v>
      </c>
      <c r="C21" s="93" t="str">
        <f t="shared" si="2"/>
        <v>:1074400000fc004550534f4e20504a0a20202020</v>
      </c>
      <c r="D21" s="41"/>
      <c r="E21" s="41"/>
      <c r="F21" s="41"/>
      <c r="G21" s="41" t="str" cm="1">
        <f t="array" ref="G21">IntelHexChecksum(RIGHT(C21,40))</f>
        <v>77</v>
      </c>
      <c r="H21" s="41"/>
      <c r="I21" s="41"/>
      <c r="J21" s="46"/>
      <c r="V21" s="65"/>
      <c r="W21" s="65" t="s">
        <v>7</v>
      </c>
      <c r="X21" s="65" t="s">
        <v>7</v>
      </c>
      <c r="Y21" s="65" t="s">
        <v>7</v>
      </c>
      <c r="Z21" s="65" t="s">
        <v>7</v>
      </c>
      <c r="AA21" s="65" t="s">
        <v>7</v>
      </c>
      <c r="AB21" s="65" t="s">
        <v>7</v>
      </c>
      <c r="AC21" s="65" t="s">
        <v>7</v>
      </c>
      <c r="AD21" s="65" t="s">
        <v>7</v>
      </c>
      <c r="AE21" s="65" t="s">
        <v>7</v>
      </c>
      <c r="AF21" s="65" t="s">
        <v>7</v>
      </c>
      <c r="AG21" s="65" t="s">
        <v>7</v>
      </c>
      <c r="AH21" s="65" t="s">
        <v>7</v>
      </c>
      <c r="AI21" s="65" t="s">
        <v>7</v>
      </c>
      <c r="AJ21" s="65" t="s">
        <v>7</v>
      </c>
      <c r="AK21" s="65" t="s">
        <v>7</v>
      </c>
      <c r="AL21" s="65" t="s">
        <v>7</v>
      </c>
      <c r="AM21">
        <v>112</v>
      </c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B22" s="54" t="s">
        <v>164</v>
      </c>
      <c r="C22" s="93" t="str">
        <f t="shared" si="2"/>
        <v>:1074500001ab020352b259901f20220514041303</v>
      </c>
      <c r="D22" s="41"/>
      <c r="E22" s="41"/>
      <c r="F22" s="41"/>
      <c r="G22" s="41" t="str" cm="1">
        <f t="array" ref="G22">IntelHexChecksum(RIGHT(C22,40))</f>
        <v>FA</v>
      </c>
      <c r="H22" s="41"/>
      <c r="I22" s="41"/>
      <c r="J22" s="46"/>
      <c r="V22" s="65"/>
      <c r="W22" s="65" t="s">
        <v>7</v>
      </c>
      <c r="X22" s="65" t="s">
        <v>7</v>
      </c>
      <c r="Y22" s="65" t="s">
        <v>7</v>
      </c>
      <c r="Z22" s="65" t="s">
        <v>7</v>
      </c>
      <c r="AA22" s="65" t="s">
        <v>7</v>
      </c>
      <c r="AB22" s="65" t="s">
        <v>7</v>
      </c>
      <c r="AC22" s="65" t="s">
        <v>7</v>
      </c>
      <c r="AD22" s="65" t="s">
        <v>7</v>
      </c>
      <c r="AE22" s="65" t="s">
        <v>7</v>
      </c>
      <c r="AF22" s="65" t="s">
        <v>7</v>
      </c>
      <c r="AG22" s="65" t="s">
        <v>7</v>
      </c>
      <c r="AH22" s="65" t="s">
        <v>7</v>
      </c>
      <c r="AI22" s="65" t="s">
        <v>7</v>
      </c>
      <c r="AJ22" s="65" t="s">
        <v>7</v>
      </c>
      <c r="AK22" s="65" t="s">
        <v>7</v>
      </c>
      <c r="AL22" s="98" t="s">
        <v>202</v>
      </c>
      <c r="AM22">
        <v>128</v>
      </c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B23" s="54" t="s">
        <v>175</v>
      </c>
      <c r="C23" s="93" t="str">
        <f t="shared" si="2"/>
        <v>:10746000021211070616155f5e5d62010f0e1e1d</v>
      </c>
      <c r="D23" s="41"/>
      <c r="E23" s="41"/>
      <c r="F23" s="41"/>
      <c r="G23" s="41" t="str" cm="1">
        <f t="array" ref="G23">IntelHexChecksum(RIGHT(C23,40))</f>
        <v>EA</v>
      </c>
      <c r="H23" s="41"/>
      <c r="I23" s="41"/>
      <c r="J23" s="46"/>
      <c r="V23" s="65"/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B24" s="54" t="s">
        <v>176</v>
      </c>
      <c r="C24" s="93" t="str">
        <f t="shared" si="2"/>
        <v>:1074700076030c002100b83ce07aff4affc08401</v>
      </c>
      <c r="D24" s="41"/>
      <c r="E24" s="41"/>
      <c r="F24" s="41"/>
      <c r="G24" s="41" t="str" cm="1">
        <f t="array" ref="G24">IntelHexChecksum(RIGHT(C24,40))</f>
        <v>8B</v>
      </c>
      <c r="H24" s="41"/>
      <c r="I24" s="41"/>
      <c r="J24" s="46"/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B25" s="54" t="s">
        <v>177</v>
      </c>
      <c r="C25" s="93" t="str">
        <f t="shared" si="2"/>
        <v>:10748000020304010000c7e305c000e200fbe50e</v>
      </c>
      <c r="D25" s="41"/>
      <c r="E25" s="41"/>
      <c r="F25" s="41"/>
      <c r="G25" s="41" t="str" cm="1">
        <f t="array" ref="G25">IntelHexChecksum(RIGHT(C25,40))</f>
        <v>B3</v>
      </c>
      <c r="H25" s="41"/>
      <c r="I25" s="41"/>
      <c r="J25" s="46"/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B26" s="54" t="s">
        <v>178</v>
      </c>
      <c r="C26" s="93" t="str">
        <f t="shared" si="2"/>
        <v>:1074900060616566e3060501eb0146d000450358</v>
      </c>
      <c r="D26" s="41"/>
      <c r="E26" s="41"/>
      <c r="F26" s="41"/>
      <c r="G26" s="41" t="str" cm="1">
        <f t="array" ref="G26">IntelHexChecksum(RIGHT(C26,40))</f>
        <v>CF</v>
      </c>
      <c r="H26" s="41"/>
      <c r="I26" s="41"/>
      <c r="J26" s="46"/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B27" s="54" t="s">
        <v>5</v>
      </c>
      <c r="C27" s="93" t="str">
        <f t="shared" si="2"/>
        <v>:1074A0008660768F000000000000000000000000</v>
      </c>
      <c r="D27" s="41"/>
      <c r="E27" s="41"/>
      <c r="F27" s="41"/>
      <c r="G27" s="41" t="str" cm="1">
        <f t="array" ref="G27">IntelHexChecksum(RIGHT(C27,40))</f>
        <v>F1</v>
      </c>
      <c r="H27" s="41"/>
      <c r="I27" s="41"/>
      <c r="J27" s="46"/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B28" s="54" t="s">
        <v>179</v>
      </c>
      <c r="C28" s="93" t="str">
        <f t="shared" si="2"/>
        <v>:1074B00000000000000000000000000000000000</v>
      </c>
      <c r="D28" s="41"/>
      <c r="E28" s="41"/>
      <c r="F28" s="41"/>
      <c r="G28" s="41" t="str" cm="1">
        <f t="array" ref="G28">IntelHexChecksum(RIGHT(C28,40))</f>
        <v>CC</v>
      </c>
      <c r="H28" s="41"/>
      <c r="I28" s="41"/>
      <c r="J28" s="46"/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B29" s="54" t="s">
        <v>180</v>
      </c>
      <c r="C29" s="93" t="str">
        <f t="shared" si="2"/>
        <v>:1074C00000000000000000000000000000000000</v>
      </c>
      <c r="D29" s="41"/>
      <c r="E29" s="41"/>
      <c r="F29" s="41"/>
      <c r="G29" s="41" t="str" cm="1">
        <f t="array" ref="G29">IntelHexChecksum(RIGHT(C29,40))</f>
        <v>BC</v>
      </c>
      <c r="H29" s="41"/>
      <c r="I29" s="41"/>
      <c r="J29" s="46"/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</row>
    <row r="30" spans="2:54" ht="15" thickBot="1" x14ac:dyDescent="0.35">
      <c r="B30" s="96" t="s">
        <v>181</v>
      </c>
      <c r="C30" s="97" t="str">
        <f>_xlfn.CONCAT(":10",RIGHT(B30,4),"00",AK22:AL22,"00FFFFFFFFFFFF00371801000100")</f>
        <v>:1074D000007600FFFFFFFFFFFF00371801000100</v>
      </c>
      <c r="D30" s="49"/>
      <c r="E30" s="49"/>
      <c r="F30" s="49"/>
      <c r="G30" s="49" t="str" cm="1">
        <f t="array" ref="G30">IntelHexChecksum(RIGHT(C30,40))</f>
        <v>EB</v>
      </c>
      <c r="H30" s="49"/>
      <c r="I30" s="49"/>
      <c r="J30" s="50"/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B31" s="94"/>
      <c r="C31" s="95"/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B32" s="94"/>
      <c r="C32" s="95"/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</row>
    <row r="33" spans="2:55" x14ac:dyDescent="0.3">
      <c r="B33" s="94"/>
      <c r="C33" s="95"/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</row>
    <row r="34" spans="2:55" x14ac:dyDescent="0.3">
      <c r="B34" s="94"/>
      <c r="C34" s="95"/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</row>
    <row r="35" spans="2:55" x14ac:dyDescent="0.3">
      <c r="B35" s="94"/>
      <c r="C35" s="95"/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</row>
    <row r="36" spans="2:55" x14ac:dyDescent="0.3">
      <c r="B36" s="94"/>
      <c r="C36" s="95"/>
      <c r="AN36" s="4">
        <f t="shared" si="1"/>
        <v>10000</v>
      </c>
      <c r="AO36">
        <v>31</v>
      </c>
      <c r="AP36" s="4" cm="1">
        <f t="array" ref="AP36">PQ2nits((2055+65*AO36)/(2055+31*65))</f>
        <v>10000</v>
      </c>
    </row>
    <row r="37" spans="2:55" x14ac:dyDescent="0.3">
      <c r="B37" s="94"/>
      <c r="C37" s="95"/>
    </row>
    <row r="38" spans="2:55" x14ac:dyDescent="0.3">
      <c r="B38" s="94"/>
      <c r="C38" s="95"/>
    </row>
    <row r="39" spans="2:55" x14ac:dyDescent="0.3">
      <c r="B39" s="94"/>
      <c r="C39" s="95"/>
    </row>
    <row r="40" spans="2:55" x14ac:dyDescent="0.3"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</row>
    <row r="41" spans="2:55" x14ac:dyDescent="0.3"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/>
      <c r="AM41" s="65"/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</row>
    <row r="42" spans="2:55" x14ac:dyDescent="0.3"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5"/>
      <c r="AV42" s="65"/>
      <c r="AW42" s="65"/>
      <c r="AX42" s="65"/>
      <c r="AY42" s="65"/>
      <c r="AZ42" s="65"/>
      <c r="BA42" s="65"/>
      <c r="BB42" s="65"/>
      <c r="BC42" s="65"/>
    </row>
    <row r="43" spans="2:55" x14ac:dyDescent="0.3"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/>
      <c r="AO43" s="65"/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</row>
    <row r="44" spans="2:55" x14ac:dyDescent="0.3"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</row>
    <row r="45" spans="2:55" x14ac:dyDescent="0.3"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5"/>
      <c r="AV45" s="65"/>
      <c r="AW45" s="65"/>
      <c r="AX45" s="65"/>
      <c r="AY45" s="65"/>
      <c r="AZ45" s="65"/>
      <c r="BA45" s="65"/>
      <c r="BB45" s="65"/>
      <c r="BC45" s="65"/>
    </row>
    <row r="46" spans="2:55" x14ac:dyDescent="0.3"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</row>
    <row r="47" spans="2:55" x14ac:dyDescent="0.3"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/>
      <c r="AQ47" s="65"/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</row>
    <row r="48" spans="2:55" x14ac:dyDescent="0.3"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</row>
    <row r="49" spans="23:39" x14ac:dyDescent="0.3"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</row>
    <row r="50" spans="23:39" x14ac:dyDescent="0.3"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</row>
    <row r="51" spans="23:39" x14ac:dyDescent="0.3"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</row>
    <row r="52" spans="23:39" x14ac:dyDescent="0.3"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65"/>
      <c r="AK52" s="65"/>
      <c r="AL52" s="65"/>
      <c r="AM52" s="65"/>
    </row>
    <row r="53" spans="23:39" x14ac:dyDescent="0.3"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</row>
    <row r="54" spans="23:39" x14ac:dyDescent="0.3"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7" priority="4">
      <formula>$E$7="Not Supported"</formula>
    </cfRule>
  </conditionalFormatting>
  <conditionalFormatting sqref="N7">
    <cfRule type="expression" dxfId="6" priority="3">
      <formula>$P$7="Supported"</formula>
    </cfRule>
  </conditionalFormatting>
  <conditionalFormatting sqref="P7">
    <cfRule type="expression" dxfId="5" priority="2">
      <formula>$N$7="Supported"</formula>
    </cfRule>
  </conditionalFormatting>
  <conditionalFormatting sqref="N7 P7">
    <cfRule type="expression" dxfId="4" priority="1" stopIfTrue="1">
      <formula>IF(AND($N$7="Supported",$P$7="Supported"),TRUE,FALSE)</formula>
    </cfRule>
  </conditionalFormatting>
  <dataValidations count="5">
    <dataValidation type="list" allowBlank="1" showInputMessage="1" showErrorMessage="1" sqref="J7" xr:uid="{85F967CE-A16D-4F6B-9D09-755D92B2229D}">
      <formula1>$AN$5:$AN$36</formula1>
    </dataValidation>
    <dataValidation type="list" allowBlank="1" showInputMessage="1" showErrorMessage="1" sqref="I7" xr:uid="{59E6C825-3186-4502-9B59-AEA19385135F}">
      <formula1>$AR$5:$AR$9</formula1>
    </dataValidation>
    <dataValidation type="list" allowBlank="1" showInputMessage="1" showErrorMessage="1" sqref="I3" xr:uid="{83D76FCD-C272-4439-900E-26566FADA01D}">
      <formula1>$AU$15:$AU$17</formula1>
    </dataValidation>
    <dataValidation type="list" allowBlank="1" showInputMessage="1" showErrorMessage="1" sqref="L7" xr:uid="{CC8E9120-4115-4576-A3C1-DD7EE4AF773F}">
      <formula1>$AU$5:$AU$8</formula1>
    </dataValidation>
    <dataValidation type="list" allowBlank="1" showInputMessage="1" showErrorMessage="1" sqref="E7:F7 H7 N7 P7" xr:uid="{B6BBA6AF-C0F4-4FED-B50F-EBC0C7CA0D2A}">
      <formula1>"Supported, Not Supported"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5324-2DBC-4FFD-8EE4-7DE7AE690F1F}">
  <sheetPr codeName="Sheet3"/>
  <dimension ref="B1:R33"/>
  <sheetViews>
    <sheetView workbookViewId="0">
      <selection activeCell="I40" sqref="I40"/>
    </sheetView>
  </sheetViews>
  <sheetFormatPr defaultRowHeight="14.4" x14ac:dyDescent="0.3"/>
  <cols>
    <col min="3" max="18" width="3.8984375" style="7" customWidth="1"/>
  </cols>
  <sheetData>
    <row r="1" spans="2:18" x14ac:dyDescent="0.3"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2:18" x14ac:dyDescent="0.3"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</row>
    <row r="3" spans="2:18" x14ac:dyDescent="0.3"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</row>
    <row r="4" spans="2:18" x14ac:dyDescent="0.3">
      <c r="B4" s="67" t="s">
        <v>163</v>
      </c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</row>
    <row r="5" spans="2:18" ht="15" thickBot="1" x14ac:dyDescent="0.35"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</row>
    <row r="6" spans="2:18" ht="15" thickBot="1" x14ac:dyDescent="0.35">
      <c r="C6" s="86">
        <v>0</v>
      </c>
      <c r="D6" s="87">
        <v>1</v>
      </c>
      <c r="E6" s="87">
        <v>2</v>
      </c>
      <c r="F6" s="87">
        <v>3</v>
      </c>
      <c r="G6" s="87">
        <v>4</v>
      </c>
      <c r="H6" s="87">
        <v>5</v>
      </c>
      <c r="I6" s="87">
        <v>6</v>
      </c>
      <c r="J6" s="87">
        <v>7</v>
      </c>
      <c r="K6" s="87">
        <v>8</v>
      </c>
      <c r="L6" s="87">
        <v>9</v>
      </c>
      <c r="M6" s="87">
        <v>10</v>
      </c>
      <c r="N6" s="87">
        <v>11</v>
      </c>
      <c r="O6" s="87">
        <v>12</v>
      </c>
      <c r="P6" s="87">
        <v>13</v>
      </c>
      <c r="Q6" s="87">
        <v>14</v>
      </c>
      <c r="R6" s="88">
        <v>15</v>
      </c>
    </row>
    <row r="7" spans="2:18" ht="15" thickBot="1" x14ac:dyDescent="0.35">
      <c r="B7" s="67" t="s">
        <v>70</v>
      </c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</row>
    <row r="8" spans="2:18" s="65" customFormat="1" x14ac:dyDescent="0.3">
      <c r="C8" s="68" t="s">
        <v>7</v>
      </c>
      <c r="D8" s="69" t="s">
        <v>129</v>
      </c>
      <c r="E8" s="69" t="s">
        <v>129</v>
      </c>
      <c r="F8" s="69" t="s">
        <v>129</v>
      </c>
      <c r="G8" s="69" t="s">
        <v>129</v>
      </c>
      <c r="H8" s="69" t="s">
        <v>129</v>
      </c>
      <c r="I8" s="69" t="s">
        <v>129</v>
      </c>
      <c r="J8" s="69" t="s">
        <v>7</v>
      </c>
      <c r="K8" s="69" t="s">
        <v>130</v>
      </c>
      <c r="L8" s="69" t="s">
        <v>131</v>
      </c>
      <c r="M8" s="69" t="s">
        <v>6</v>
      </c>
      <c r="N8" s="69" t="s">
        <v>7</v>
      </c>
      <c r="O8" s="69" t="s">
        <v>6</v>
      </c>
      <c r="P8" s="69" t="s">
        <v>7</v>
      </c>
      <c r="Q8" s="69" t="s">
        <v>7</v>
      </c>
      <c r="R8" s="70" t="s">
        <v>7</v>
      </c>
    </row>
    <row r="9" spans="2:18" s="65" customFormat="1" x14ac:dyDescent="0.3">
      <c r="C9" s="71" t="s">
        <v>97</v>
      </c>
      <c r="D9" s="72" t="s">
        <v>132</v>
      </c>
      <c r="E9" s="72" t="s">
        <v>6</v>
      </c>
      <c r="F9" s="72" t="s">
        <v>91</v>
      </c>
      <c r="G9" s="72" t="s">
        <v>114</v>
      </c>
      <c r="H9" s="72" t="s">
        <v>133</v>
      </c>
      <c r="I9" s="72" t="s">
        <v>134</v>
      </c>
      <c r="J9" s="72" t="s">
        <v>115</v>
      </c>
      <c r="K9" s="72" t="s">
        <v>119</v>
      </c>
      <c r="L9" s="72" t="s">
        <v>135</v>
      </c>
      <c r="M9" s="72" t="s">
        <v>136</v>
      </c>
      <c r="N9" s="72" t="s">
        <v>131</v>
      </c>
      <c r="O9" s="72" t="s">
        <v>110</v>
      </c>
      <c r="P9" s="72" t="s">
        <v>137</v>
      </c>
      <c r="Q9" s="72" t="s">
        <v>138</v>
      </c>
      <c r="R9" s="73" t="s">
        <v>139</v>
      </c>
    </row>
    <row r="10" spans="2:18" s="65" customFormat="1" x14ac:dyDescent="0.3">
      <c r="C10" s="71" t="s">
        <v>140</v>
      </c>
      <c r="D10" s="72" t="s">
        <v>141</v>
      </c>
      <c r="E10" s="72" t="s">
        <v>137</v>
      </c>
      <c r="F10" s="72" t="s">
        <v>127</v>
      </c>
      <c r="G10" s="72" t="s">
        <v>142</v>
      </c>
      <c r="H10" s="72" t="s">
        <v>7</v>
      </c>
      <c r="I10" s="72" t="s">
        <v>143</v>
      </c>
      <c r="J10" s="72" t="s">
        <v>114</v>
      </c>
      <c r="K10" s="72" t="s">
        <v>144</v>
      </c>
      <c r="L10" s="72" t="s">
        <v>106</v>
      </c>
      <c r="M10" s="72" t="s">
        <v>93</v>
      </c>
      <c r="N10" s="72" t="s">
        <v>106</v>
      </c>
      <c r="O10" s="72" t="s">
        <v>145</v>
      </c>
      <c r="P10" s="72" t="s">
        <v>7</v>
      </c>
      <c r="Q10" s="72" t="s">
        <v>6</v>
      </c>
      <c r="R10" s="73" t="s">
        <v>6</v>
      </c>
    </row>
    <row r="11" spans="2:18" s="65" customFormat="1" x14ac:dyDescent="0.3">
      <c r="C11" s="71" t="s">
        <v>6</v>
      </c>
      <c r="D11" s="72" t="s">
        <v>6</v>
      </c>
      <c r="E11" s="72" t="s">
        <v>6</v>
      </c>
      <c r="F11" s="72" t="s">
        <v>6</v>
      </c>
      <c r="G11" s="72" t="s">
        <v>6</v>
      </c>
      <c r="H11" s="72" t="s">
        <v>6</v>
      </c>
      <c r="I11" s="72" t="s">
        <v>142</v>
      </c>
      <c r="J11" s="72" t="s">
        <v>146</v>
      </c>
      <c r="K11" s="72" t="s">
        <v>7</v>
      </c>
      <c r="L11" s="72" t="s">
        <v>147</v>
      </c>
      <c r="M11" s="72" t="s">
        <v>73</v>
      </c>
      <c r="N11" s="72" t="s">
        <v>148</v>
      </c>
      <c r="O11" s="72" t="s">
        <v>149</v>
      </c>
      <c r="P11" s="72" t="s">
        <v>114</v>
      </c>
      <c r="Q11" s="72" t="s">
        <v>138</v>
      </c>
      <c r="R11" s="73" t="s">
        <v>150</v>
      </c>
    </row>
    <row r="12" spans="2:18" s="65" customFormat="1" x14ac:dyDescent="0.3">
      <c r="C12" s="71" t="s">
        <v>121</v>
      </c>
      <c r="D12" s="72" t="s">
        <v>7</v>
      </c>
      <c r="E12" s="72" t="s">
        <v>108</v>
      </c>
      <c r="F12" s="72" t="s">
        <v>151</v>
      </c>
      <c r="G12" s="72" t="s">
        <v>136</v>
      </c>
      <c r="H12" s="72" t="s">
        <v>7</v>
      </c>
      <c r="I12" s="72" t="s">
        <v>7</v>
      </c>
      <c r="J12" s="72" t="s">
        <v>79</v>
      </c>
      <c r="K12" s="72" t="s">
        <v>90</v>
      </c>
      <c r="L12" s="72" t="s">
        <v>152</v>
      </c>
      <c r="M12" s="72" t="s">
        <v>114</v>
      </c>
      <c r="N12" s="72" t="s">
        <v>128</v>
      </c>
      <c r="O12" s="72" t="s">
        <v>153</v>
      </c>
      <c r="P12" s="72" t="s">
        <v>113</v>
      </c>
      <c r="Q12" s="72" t="s">
        <v>123</v>
      </c>
      <c r="R12" s="73" t="s">
        <v>106</v>
      </c>
    </row>
    <row r="13" spans="2:18" s="65" customFormat="1" x14ac:dyDescent="0.3">
      <c r="C13" s="71" t="s">
        <v>150</v>
      </c>
      <c r="D13" s="72" t="s">
        <v>154</v>
      </c>
      <c r="E13" s="72" t="s">
        <v>144</v>
      </c>
      <c r="F13" s="72" t="s">
        <v>7</v>
      </c>
      <c r="G13" s="72" t="s">
        <v>108</v>
      </c>
      <c r="H13" s="72" t="s">
        <v>151</v>
      </c>
      <c r="I13" s="72" t="s">
        <v>136</v>
      </c>
      <c r="J13" s="72" t="s">
        <v>7</v>
      </c>
      <c r="K13" s="72" t="s">
        <v>7</v>
      </c>
      <c r="L13" s="72" t="s">
        <v>79</v>
      </c>
      <c r="M13" s="72" t="s">
        <v>7</v>
      </c>
      <c r="N13" s="72" t="s">
        <v>7</v>
      </c>
      <c r="O13" s="72" t="s">
        <v>7</v>
      </c>
      <c r="P13" s="72" t="s">
        <v>155</v>
      </c>
      <c r="Q13" s="72" t="s">
        <v>7</v>
      </c>
      <c r="R13" s="73" t="s">
        <v>156</v>
      </c>
    </row>
    <row r="14" spans="2:18" s="65" customFormat="1" x14ac:dyDescent="0.3">
      <c r="C14" s="71" t="s">
        <v>144</v>
      </c>
      <c r="D14" s="72" t="s">
        <v>157</v>
      </c>
      <c r="E14" s="72" t="s">
        <v>123</v>
      </c>
      <c r="F14" s="72" t="s">
        <v>158</v>
      </c>
      <c r="G14" s="72" t="s">
        <v>123</v>
      </c>
      <c r="H14" s="72" t="s">
        <v>159</v>
      </c>
      <c r="I14" s="72" t="s">
        <v>123</v>
      </c>
      <c r="J14" s="72" t="s">
        <v>141</v>
      </c>
      <c r="K14" s="72" t="s">
        <v>119</v>
      </c>
      <c r="L14" s="72" t="s">
        <v>104</v>
      </c>
      <c r="M14" s="72" t="s">
        <v>104</v>
      </c>
      <c r="N14" s="72" t="s">
        <v>104</v>
      </c>
      <c r="O14" s="72" t="s">
        <v>7</v>
      </c>
      <c r="P14" s="72" t="s">
        <v>7</v>
      </c>
      <c r="Q14" s="72" t="s">
        <v>7</v>
      </c>
      <c r="R14" s="73" t="s">
        <v>160</v>
      </c>
    </row>
    <row r="15" spans="2:18" s="65" customFormat="1" ht="15" thickBot="1" x14ac:dyDescent="0.35">
      <c r="C15" s="74" t="s">
        <v>7</v>
      </c>
      <c r="D15" s="75" t="s">
        <v>128</v>
      </c>
      <c r="E15" s="75" t="s">
        <v>161</v>
      </c>
      <c r="F15" s="75" t="s">
        <v>76</v>
      </c>
      <c r="G15" s="75" t="s">
        <v>162</v>
      </c>
      <c r="H15" s="75" t="s">
        <v>86</v>
      </c>
      <c r="I15" s="75" t="s">
        <v>7</v>
      </c>
      <c r="J15" s="75" t="s">
        <v>119</v>
      </c>
      <c r="K15" s="75" t="s">
        <v>104</v>
      </c>
      <c r="L15" s="75" t="s">
        <v>104</v>
      </c>
      <c r="M15" s="75" t="s">
        <v>104</v>
      </c>
      <c r="N15" s="75" t="s">
        <v>104</v>
      </c>
      <c r="O15" s="75" t="s">
        <v>104</v>
      </c>
      <c r="P15" s="75" t="s">
        <v>104</v>
      </c>
      <c r="Q15" s="75" t="s">
        <v>6</v>
      </c>
      <c r="R15" s="76" t="s">
        <v>141</v>
      </c>
    </row>
    <row r="16" spans="2:18" s="65" customFormat="1" x14ac:dyDescent="0.3"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s="65" customFormat="1" x14ac:dyDescent="0.3">
      <c r="C17" s="77"/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</row>
    <row r="18" spans="2:18" ht="15" thickBot="1" x14ac:dyDescent="0.35">
      <c r="B18" s="67" t="s">
        <v>71</v>
      </c>
    </row>
    <row r="19" spans="2:18" s="65" customFormat="1" x14ac:dyDescent="0.3">
      <c r="C19" s="78" t="s">
        <v>90</v>
      </c>
      <c r="D19" s="79" t="s">
        <v>91</v>
      </c>
      <c r="E19" s="79" t="s">
        <v>72</v>
      </c>
      <c r="F19" s="79" t="s">
        <v>73</v>
      </c>
      <c r="G19" s="79" t="s">
        <v>92</v>
      </c>
      <c r="H19" s="79" t="s">
        <v>93</v>
      </c>
      <c r="I19" s="79" t="s">
        <v>94</v>
      </c>
      <c r="J19" s="79" t="s">
        <v>95</v>
      </c>
      <c r="K19" s="79" t="s">
        <v>96</v>
      </c>
      <c r="L19" s="79" t="s">
        <v>6</v>
      </c>
      <c r="M19" s="79" t="s">
        <v>91</v>
      </c>
      <c r="N19" s="79" t="s">
        <v>97</v>
      </c>
      <c r="O19" s="79" t="s">
        <v>98</v>
      </c>
      <c r="P19" s="79" t="s">
        <v>99</v>
      </c>
      <c r="Q19" s="79" t="s">
        <v>29</v>
      </c>
      <c r="R19" s="80" t="s">
        <v>100</v>
      </c>
    </row>
    <row r="20" spans="2:18" s="65" customFormat="1" x14ac:dyDescent="0.3">
      <c r="C20" s="81" t="s">
        <v>101</v>
      </c>
      <c r="D20" s="82" t="s">
        <v>102</v>
      </c>
      <c r="E20" s="82" t="s">
        <v>103</v>
      </c>
      <c r="F20" s="82" t="s">
        <v>74</v>
      </c>
      <c r="G20" s="82" t="s">
        <v>104</v>
      </c>
      <c r="H20" s="82" t="s">
        <v>105</v>
      </c>
      <c r="I20" s="82" t="s">
        <v>75</v>
      </c>
      <c r="J20" s="82" t="s">
        <v>106</v>
      </c>
      <c r="K20" s="82" t="s">
        <v>107</v>
      </c>
      <c r="L20" s="82" t="s">
        <v>76</v>
      </c>
      <c r="M20" s="82" t="s">
        <v>77</v>
      </c>
      <c r="N20" s="82" t="s">
        <v>99</v>
      </c>
      <c r="O20" s="82" t="s">
        <v>78</v>
      </c>
      <c r="P20" s="82" t="s">
        <v>79</v>
      </c>
      <c r="Q20" s="82" t="s">
        <v>108</v>
      </c>
      <c r="R20" s="83" t="s">
        <v>109</v>
      </c>
    </row>
    <row r="21" spans="2:18" s="65" customFormat="1" x14ac:dyDescent="0.3">
      <c r="C21" s="81" t="s">
        <v>99</v>
      </c>
      <c r="D21" s="82" t="s">
        <v>108</v>
      </c>
      <c r="E21" s="82" t="s">
        <v>80</v>
      </c>
      <c r="F21" s="82" t="s">
        <v>81</v>
      </c>
      <c r="G21" s="82" t="s">
        <v>6</v>
      </c>
      <c r="H21" s="82" t="s">
        <v>110</v>
      </c>
      <c r="I21" s="82" t="s">
        <v>99</v>
      </c>
      <c r="J21" s="82" t="s">
        <v>6</v>
      </c>
      <c r="K21" s="82" t="s">
        <v>111</v>
      </c>
      <c r="L21" s="82" t="s">
        <v>81</v>
      </c>
      <c r="M21" s="82" t="s">
        <v>91</v>
      </c>
      <c r="N21" s="82" t="s">
        <v>112</v>
      </c>
      <c r="O21" s="82" t="s">
        <v>80</v>
      </c>
      <c r="P21" s="82" t="s">
        <v>7</v>
      </c>
      <c r="Q21" s="82" t="s">
        <v>7</v>
      </c>
      <c r="R21" s="83" t="s">
        <v>82</v>
      </c>
    </row>
    <row r="22" spans="2:18" s="65" customFormat="1" x14ac:dyDescent="0.3">
      <c r="C22" s="81" t="s">
        <v>98</v>
      </c>
      <c r="D22" s="82" t="s">
        <v>83</v>
      </c>
      <c r="E22" s="82" t="s">
        <v>7</v>
      </c>
      <c r="F22" s="82" t="s">
        <v>84</v>
      </c>
      <c r="G22" s="82" t="s">
        <v>91</v>
      </c>
      <c r="H22" s="82" t="s">
        <v>85</v>
      </c>
      <c r="I22" s="82" t="s">
        <v>7</v>
      </c>
      <c r="J22" s="82" t="s">
        <v>30</v>
      </c>
      <c r="K22" s="82" t="s">
        <v>7</v>
      </c>
      <c r="L22" s="82" t="s">
        <v>113</v>
      </c>
      <c r="M22" s="82" t="s">
        <v>86</v>
      </c>
      <c r="N22" s="82" t="s">
        <v>104</v>
      </c>
      <c r="O22" s="82" t="s">
        <v>114</v>
      </c>
      <c r="P22" s="82" t="s">
        <v>114</v>
      </c>
      <c r="Q22" s="82" t="s">
        <v>6</v>
      </c>
      <c r="R22" s="83" t="s">
        <v>90</v>
      </c>
    </row>
    <row r="23" spans="2:18" s="65" customFormat="1" x14ac:dyDescent="0.3">
      <c r="C23" s="81" t="s">
        <v>91</v>
      </c>
      <c r="D23" s="82" t="s">
        <v>97</v>
      </c>
      <c r="E23" s="82" t="s">
        <v>87</v>
      </c>
      <c r="F23" s="82" t="s">
        <v>76</v>
      </c>
      <c r="G23" s="82" t="s">
        <v>76</v>
      </c>
      <c r="H23" s="82" t="s">
        <v>111</v>
      </c>
      <c r="I23" s="82" t="s">
        <v>88</v>
      </c>
      <c r="J23" s="82" t="s">
        <v>72</v>
      </c>
      <c r="K23" s="82" t="s">
        <v>89</v>
      </c>
      <c r="L23" s="82" t="s">
        <v>6</v>
      </c>
      <c r="M23" s="82" t="s">
        <v>115</v>
      </c>
      <c r="N23" s="82" t="s">
        <v>114</v>
      </c>
      <c r="O23" s="82" t="s">
        <v>91</v>
      </c>
      <c r="P23" s="82" t="s">
        <v>82</v>
      </c>
      <c r="Q23" s="82" t="s">
        <v>116</v>
      </c>
      <c r="R23" s="83" t="s">
        <v>98</v>
      </c>
    </row>
    <row r="24" spans="2:18" s="65" customFormat="1" x14ac:dyDescent="0.3">
      <c r="C24" s="81" t="s">
        <v>6</v>
      </c>
      <c r="D24" s="89" t="s">
        <v>117</v>
      </c>
      <c r="E24" s="89" t="s">
        <v>117</v>
      </c>
      <c r="F24" s="89" t="s">
        <v>117</v>
      </c>
      <c r="G24" s="89" t="s">
        <v>117</v>
      </c>
      <c r="H24" s="89" t="s">
        <v>117</v>
      </c>
      <c r="I24" s="89" t="s">
        <v>117</v>
      </c>
      <c r="J24" s="89" t="s">
        <v>117</v>
      </c>
      <c r="K24" s="89" t="s">
        <v>117</v>
      </c>
      <c r="L24" s="89" t="s">
        <v>117</v>
      </c>
      <c r="M24" s="89" t="s">
        <v>117</v>
      </c>
      <c r="N24" s="89" t="s">
        <v>117</v>
      </c>
      <c r="O24" s="89" t="s">
        <v>117</v>
      </c>
      <c r="P24" s="82" t="s">
        <v>118</v>
      </c>
      <c r="Q24" s="82" t="s">
        <v>119</v>
      </c>
      <c r="R24" s="83" t="s">
        <v>120</v>
      </c>
    </row>
    <row r="25" spans="2:18" s="65" customFormat="1" x14ac:dyDescent="0.3">
      <c r="C25" s="81" t="s">
        <v>121</v>
      </c>
      <c r="D25" s="82" t="s">
        <v>104</v>
      </c>
      <c r="E25" s="82" t="s">
        <v>122</v>
      </c>
      <c r="F25" s="82" t="s">
        <v>123</v>
      </c>
      <c r="G25" s="82" t="s">
        <v>29</v>
      </c>
      <c r="H25" s="82" t="s">
        <v>29</v>
      </c>
      <c r="I25" s="82" t="s">
        <v>124</v>
      </c>
      <c r="J25" s="82" t="s">
        <v>126</v>
      </c>
      <c r="K25" s="82" t="s">
        <v>7</v>
      </c>
      <c r="L25" s="82" t="s">
        <v>89</v>
      </c>
      <c r="M25" s="82" t="s">
        <v>125</v>
      </c>
      <c r="N25" s="82" t="s">
        <v>127</v>
      </c>
      <c r="O25" s="82" t="s">
        <v>7</v>
      </c>
      <c r="P25" s="82" t="s">
        <v>7</v>
      </c>
      <c r="Q25" s="82" t="s">
        <v>128</v>
      </c>
      <c r="R25" s="83" t="s">
        <v>7</v>
      </c>
    </row>
    <row r="26" spans="2:18" s="65" customFormat="1" ht="15" thickBot="1" x14ac:dyDescent="0.35">
      <c r="C26" s="84" t="s">
        <v>7</v>
      </c>
      <c r="D26" s="85" t="s">
        <v>7</v>
      </c>
      <c r="E26" s="85" t="s">
        <v>7</v>
      </c>
      <c r="F26" s="85" t="s">
        <v>7</v>
      </c>
      <c r="G26" s="85" t="s">
        <v>7</v>
      </c>
      <c r="H26" s="85" t="s">
        <v>7</v>
      </c>
      <c r="I26" s="85" t="s">
        <v>7</v>
      </c>
      <c r="J26" s="85" t="s">
        <v>7</v>
      </c>
      <c r="K26" s="85" t="s">
        <v>7</v>
      </c>
      <c r="L26" s="85" t="s">
        <v>7</v>
      </c>
      <c r="M26" s="85" t="s">
        <v>7</v>
      </c>
      <c r="N26" s="85" t="s">
        <v>7</v>
      </c>
      <c r="O26" s="85" t="s">
        <v>7</v>
      </c>
      <c r="P26" s="85" t="s">
        <v>7</v>
      </c>
      <c r="Q26" s="85" t="s">
        <v>7</v>
      </c>
      <c r="R26" s="90" t="s">
        <v>94</v>
      </c>
    </row>
    <row r="27" spans="2:18" s="65" customFormat="1" x14ac:dyDescent="0.3"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</row>
    <row r="28" spans="2:18" s="65" customFormat="1" x14ac:dyDescent="0.3"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2:18" s="65" customFormat="1" x14ac:dyDescent="0.3"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2:18" s="65" customFormat="1" x14ac:dyDescent="0.3">
      <c r="C30" s="77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2:18" s="65" customFormat="1" x14ac:dyDescent="0.3">
      <c r="C31" s="77"/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</row>
    <row r="32" spans="2:18" s="65" customFormat="1" x14ac:dyDescent="0.3"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</row>
    <row r="33" spans="3:18" s="65" customFormat="1" x14ac:dyDescent="0.3"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Patcher</vt:lpstr>
      <vt:lpstr>Custom DV</vt:lpstr>
      <vt:lpstr>Custom EDID-LS10500</vt:lpstr>
      <vt:lpstr>Custom EDID-VAVA</vt:lpstr>
      <vt:lpstr>Custom EDID-LS12000</vt:lpstr>
      <vt:lpstr>Custom EDID-JVC-RS400</vt:lpstr>
      <vt:lpstr>Custom EDID-Template</vt:lpstr>
      <vt:lpstr>EDID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2022-10-15T16:28:05Z</dcterms:modified>
</cp:coreProperties>
</file>