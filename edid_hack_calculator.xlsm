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E4AAE17A-9BA2-4338-B1E4-651981E0B94A}" xr6:coauthVersionLast="47" xr6:coauthVersionMax="47" xr10:uidLastSave="{00000000-0000-0000-0000-000000000000}"/>
  <bookViews>
    <workbookView xWindow="1901" yWindow="1901" windowWidth="33177" windowHeight="17453" firstSheet="4" activeTab="6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Custom EDID-LS12000" sheetId="8" r:id="rId5"/>
    <sheet name="Custom EDID-JVC-RS400" sheetId="10" r:id="rId6"/>
    <sheet name="Custom EDID-Formovie T1" sheetId="11" r:id="rId7"/>
    <sheet name="Custom EDID-Template" sheetId="9" r:id="rId8"/>
    <sheet name="EDID" sheetId="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2" i="11" l="1"/>
  <c r="AA22" i="11"/>
  <c r="AB22" i="11"/>
  <c r="AC22" i="11"/>
  <c r="X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G5" i="11" s="1"/>
  <c r="H8" i="11"/>
  <c r="E8" i="11"/>
  <c r="C5" i="11" s="1"/>
  <c r="W22" i="11" s="1"/>
  <c r="O5" i="11"/>
  <c r="M5" i="11"/>
  <c r="AJ20" i="10"/>
  <c r="AI20" i="10"/>
  <c r="AH20" i="10"/>
  <c r="AG20" i="10"/>
  <c r="AE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G5" i="10" s="1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Q8" i="9"/>
  <c r="P8" i="9"/>
  <c r="N8" i="9"/>
  <c r="L8" i="9"/>
  <c r="I8" i="9"/>
  <c r="H8" i="9"/>
  <c r="F8" i="9"/>
  <c r="E8" i="9"/>
  <c r="T7" i="9"/>
  <c r="T8" i="9" s="1"/>
  <c r="S7" i="9"/>
  <c r="S8" i="9" s="1"/>
  <c r="S5" i="9" s="1"/>
  <c r="X20" i="9" s="1"/>
  <c r="R7" i="9"/>
  <c r="R8" i="9" s="1"/>
  <c r="Q5" i="9" s="1"/>
  <c r="W20" i="9" s="1"/>
  <c r="Q7" i="9"/>
  <c r="O7" i="9"/>
  <c r="O8" i="9" s="1"/>
  <c r="M7" i="9"/>
  <c r="M8" i="9" s="1"/>
  <c r="M5" i="9" s="1"/>
  <c r="AK19" i="9" s="1"/>
  <c r="O5" i="9"/>
  <c r="AL19" i="9" s="1"/>
  <c r="G5" i="9"/>
  <c r="AI19" i="9" s="1"/>
  <c r="C5" i="9"/>
  <c r="AH19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G5" i="8" s="1"/>
  <c r="W21" i="8" s="1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M5" i="8" s="1"/>
  <c r="C27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G21" i="7"/>
  <c r="AF21" i="7"/>
  <c r="X20" i="6"/>
  <c r="W20" i="6"/>
  <c r="AL19" i="6"/>
  <c r="AK19" i="6"/>
  <c r="AI19" i="6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Q8" i="6"/>
  <c r="P8" i="6"/>
  <c r="N8" i="6"/>
  <c r="M8" i="6"/>
  <c r="M5" i="6" s="1"/>
  <c r="L8" i="6"/>
  <c r="I8" i="6"/>
  <c r="H8" i="6"/>
  <c r="G5" i="6" s="1"/>
  <c r="F8" i="6"/>
  <c r="E8" i="6"/>
  <c r="T7" i="6"/>
  <c r="T8" i="6" s="1"/>
  <c r="S7" i="6"/>
  <c r="S8" i="6" s="1"/>
  <c r="S5" i="6" s="1"/>
  <c r="R7" i="6"/>
  <c r="R8" i="6" s="1"/>
  <c r="Q7" i="6"/>
  <c r="O7" i="6"/>
  <c r="O8" i="6" s="1"/>
  <c r="O5" i="6" s="1"/>
  <c r="M7" i="6"/>
  <c r="C5" i="6"/>
  <c r="AP35" i="11" a="1"/>
  <c r="AP31" i="11" a="1"/>
  <c r="AP17" i="11" a="1"/>
  <c r="AP15" i="11" a="1"/>
  <c r="AP13" i="11" a="1"/>
  <c r="AP10" i="11" a="1"/>
  <c r="AP6" i="11" a="1"/>
  <c r="AP36" i="11" a="1"/>
  <c r="AP32" i="11" a="1"/>
  <c r="AP29" i="11" a="1"/>
  <c r="AP27" i="11" a="1"/>
  <c r="AP25" i="11" a="1"/>
  <c r="AP23" i="11" a="1"/>
  <c r="AP21" i="11" a="1"/>
  <c r="AP12" i="11" a="1"/>
  <c r="AP11" i="11" a="1"/>
  <c r="AP33" i="11" a="1"/>
  <c r="AP18" i="11" a="1"/>
  <c r="AP16" i="11" a="1"/>
  <c r="AP30" i="11" a="1"/>
  <c r="AP28" i="11" a="1"/>
  <c r="G24" i="11" a="1"/>
  <c r="G22" i="11" a="1"/>
  <c r="G19" i="11" a="1"/>
  <c r="G16" i="11" a="1"/>
  <c r="AP9" i="11" a="1"/>
  <c r="AP34" i="11" a="1"/>
  <c r="G30" i="11" a="1"/>
  <c r="G28" i="11" a="1"/>
  <c r="G20" i="11" a="1"/>
  <c r="G17" i="11" a="1"/>
  <c r="AP14" i="11" a="1"/>
  <c r="AP8" i="11" a="1"/>
  <c r="G25" i="11" a="1"/>
  <c r="G23" i="11" a="1"/>
  <c r="G21" i="11" a="1"/>
  <c r="AP19" i="11" a="1"/>
  <c r="AP7" i="11" a="1"/>
  <c r="AP26" i="11" a="1"/>
  <c r="AP24" i="11" a="1"/>
  <c r="AP22" i="11" a="1"/>
  <c r="AP20" i="11" a="1"/>
  <c r="G18" i="11" a="1"/>
  <c r="G15" i="11" a="1"/>
  <c r="G14" i="11" a="1"/>
  <c r="AP5" i="11" a="1"/>
  <c r="AP35" i="10" a="1"/>
  <c r="AP15" i="10" a="1"/>
  <c r="AP27" i="10" a="1"/>
  <c r="G29" i="10" a="1"/>
  <c r="AP10" i="9" a="1"/>
  <c r="AP18" i="9" a="1"/>
  <c r="AP14" i="9" a="1"/>
  <c r="AP6" i="8" a="1"/>
  <c r="AP29" i="6" a="1"/>
  <c r="AP13" i="7" a="1"/>
  <c r="AP23" i="8" a="1"/>
  <c r="G14" i="7" a="1"/>
  <c r="AP24" i="6" a="1"/>
  <c r="AP33" i="8" a="1"/>
  <c r="AP8" i="6" a="1"/>
  <c r="G24" i="8" a="1"/>
  <c r="G20" i="10" a="1"/>
  <c r="G19" i="9" a="1"/>
  <c r="AP20" i="7" a="1"/>
  <c r="G18" i="6" a="1"/>
  <c r="AP5" i="8" a="1"/>
  <c r="AP34" i="10" a="1"/>
  <c r="G23" i="10" a="1"/>
  <c r="G26" i="10" a="1"/>
  <c r="AP12" i="9" a="1"/>
  <c r="G16" i="9" a="1"/>
  <c r="G24" i="9" a="1"/>
  <c r="AP33" i="7" a="1"/>
  <c r="G18" i="8" a="1"/>
  <c r="AP30" i="6" a="1"/>
  <c r="AP27" i="6" a="1"/>
  <c r="AP18" i="7" a="1"/>
  <c r="AP24" i="7" a="1"/>
  <c r="AP36" i="7" a="1"/>
  <c r="G19" i="8" a="1"/>
  <c r="AP19" i="10" a="1"/>
  <c r="AP11" i="9" a="1"/>
  <c r="AP10" i="6" a="1"/>
  <c r="AP35" i="7" a="1"/>
  <c r="AP17" i="7" a="1"/>
  <c r="AP6" i="10" a="1"/>
  <c r="AP21" i="10" a="1"/>
  <c r="G21" i="10" a="1"/>
  <c r="AP32" i="9" a="1"/>
  <c r="AP5" i="9" a="1"/>
  <c r="AP26" i="9" a="1"/>
  <c r="G27" i="7" a="1"/>
  <c r="AP28" i="6" a="1"/>
  <c r="AP8" i="7" a="1"/>
  <c r="AP11" i="8" a="1"/>
  <c r="AP5" i="7" a="1"/>
  <c r="G28" i="6" a="1"/>
  <c r="AP14" i="8" a="1"/>
  <c r="AP28" i="8" a="1"/>
  <c r="G25" i="8" a="1"/>
  <c r="AP11" i="10" a="1"/>
  <c r="G23" i="9" a="1"/>
  <c r="AP30" i="7" a="1"/>
  <c r="G16" i="8" a="1"/>
  <c r="AP23" i="6" a="1"/>
  <c r="G17" i="9" a="1"/>
  <c r="AP17" i="6" a="1"/>
  <c r="AP6" i="7" a="1"/>
  <c r="AP19" i="8" a="1"/>
  <c r="AP25" i="9" a="1"/>
  <c r="AP12" i="6" a="1"/>
  <c r="AP25" i="10" a="1"/>
  <c r="AP6" i="9" a="1"/>
  <c r="G16" i="7" a="1"/>
  <c r="AP21" i="8" a="1"/>
  <c r="AP18" i="8" a="1"/>
  <c r="G20" i="8" a="1"/>
  <c r="G20" i="6" a="1"/>
  <c r="AP28" i="10" a="1"/>
  <c r="AP35" i="9" a="1"/>
  <c r="AP31" i="8" a="1"/>
  <c r="AP36" i="8" a="1"/>
  <c r="AP15" i="6" a="1"/>
  <c r="AP34" i="7" a="1"/>
  <c r="AP15" i="9" a="1"/>
  <c r="G25" i="6" a="1"/>
  <c r="AP26" i="10" a="1"/>
  <c r="AP30" i="9" a="1"/>
  <c r="AP14" i="7" a="1"/>
  <c r="AP32" i="8" a="1"/>
  <c r="AP36" i="6" a="1"/>
  <c r="AP9" i="8" a="1"/>
  <c r="G14" i="9" a="1"/>
  <c r="AP30" i="8" a="1"/>
  <c r="AP12" i="10" a="1"/>
  <c r="AP27" i="9" a="1"/>
  <c r="G22" i="9" a="1"/>
  <c r="G15" i="6" a="1"/>
  <c r="G29" i="7" a="1"/>
  <c r="AP24" i="8" a="1"/>
  <c r="G24" i="10" a="1"/>
  <c r="AP21" i="7" a="1"/>
  <c r="AP17" i="10" a="1"/>
  <c r="AP9" i="10" a="1"/>
  <c r="G20" i="9" a="1"/>
  <c r="G19" i="6" a="1"/>
  <c r="G30" i="7" a="1"/>
  <c r="G17" i="6" a="1"/>
  <c r="AP36" i="9" a="1"/>
  <c r="AP27" i="8" a="1"/>
  <c r="AP33" i="10" a="1"/>
  <c r="AP20" i="10" a="1"/>
  <c r="G19" i="10" a="1"/>
  <c r="AP29" i="9" a="1"/>
  <c r="AP34" i="9" a="1"/>
  <c r="AP24" i="9" a="1"/>
  <c r="G19" i="7" a="1"/>
  <c r="AP9" i="6" a="1"/>
  <c r="AP6" i="6" a="1"/>
  <c r="G18" i="7" a="1"/>
  <c r="AP27" i="7" a="1"/>
  <c r="G26" i="7" a="1"/>
  <c r="AP8" i="8" a="1"/>
  <c r="AP26" i="8" a="1"/>
  <c r="G21" i="8" a="1"/>
  <c r="G15" i="10" a="1"/>
  <c r="AP35" i="8" a="1"/>
  <c r="G21" i="6" a="1"/>
  <c r="AP31" i="6" a="1"/>
  <c r="AP31" i="10" a="1"/>
  <c r="AP36" i="10" a="1"/>
  <c r="AP5" i="10" a="1"/>
  <c r="AP17" i="9" a="1"/>
  <c r="AP28" i="9" a="1"/>
  <c r="AP19" i="9" a="1"/>
  <c r="AP15" i="8" a="1"/>
  <c r="AP19" i="6" a="1"/>
  <c r="G25" i="7" a="1"/>
  <c r="AP29" i="8" a="1"/>
  <c r="G24" i="6" a="1"/>
  <c r="AP25" i="6" a="1"/>
  <c r="G16" i="6" a="1"/>
  <c r="AP13" i="6" a="1"/>
  <c r="AP7" i="8" a="1"/>
  <c r="AP30" i="10" a="1"/>
  <c r="G28" i="9" a="1"/>
  <c r="G14" i="8" a="1"/>
  <c r="AP35" i="6" a="1"/>
  <c r="AP22" i="8" a="1"/>
  <c r="AP14" i="10" a="1"/>
  <c r="G30" i="10" a="1"/>
  <c r="G17" i="10" a="1"/>
  <c r="AP23" i="9" a="1"/>
  <c r="AP20" i="9" a="1"/>
  <c r="AP16" i="9" a="1"/>
  <c r="AP23" i="7" a="1"/>
  <c r="G29" i="6" a="1"/>
  <c r="AP7" i="6" a="1"/>
  <c r="AP28" i="7" a="1"/>
  <c r="AP11" i="7" a="1"/>
  <c r="AP25" i="7" a="1"/>
  <c r="G20" i="7" a="1"/>
  <c r="AP20" i="8" a="1"/>
  <c r="G27" i="8" a="1"/>
  <c r="AP22" i="10" a="1"/>
  <c r="AP9" i="9" a="1"/>
  <c r="G14" i="6" a="1"/>
  <c r="G24" i="7" a="1"/>
  <c r="G17" i="8" a="1"/>
  <c r="AP15" i="7" a="1"/>
  <c r="G30" i="6" a="1"/>
  <c r="AP26" i="7" a="1"/>
  <c r="AP10" i="10" a="1"/>
  <c r="AP32" i="7" a="1"/>
  <c r="AP14" i="6" a="1"/>
  <c r="AP24" i="10" a="1"/>
  <c r="G15" i="9" a="1"/>
  <c r="AP21" i="6" a="1"/>
  <c r="G23" i="7" a="1"/>
  <c r="AP34" i="8" a="1"/>
  <c r="G21" i="9" a="1"/>
  <c r="G22" i="8" a="1"/>
  <c r="AP33" i="9" a="1"/>
  <c r="AP22" i="7" a="1"/>
  <c r="AP12" i="8" a="1"/>
  <c r="AP20" i="6" a="1"/>
  <c r="AP16" i="10" a="1"/>
  <c r="G29" i="9" a="1"/>
  <c r="G23" i="8" a="1"/>
  <c r="AP31" i="9" a="1"/>
  <c r="AP22" i="9" a="1"/>
  <c r="AP17" i="8" a="1"/>
  <c r="G17" i="7" a="1"/>
  <c r="AP32" i="6" a="1"/>
  <c r="AP29" i="7" a="1"/>
  <c r="AP11" i="6" a="1"/>
  <c r="G30" i="8" a="1"/>
  <c r="AP13" i="8" a="1"/>
  <c r="AP16" i="8" a="1"/>
  <c r="AP8" i="10" a="1"/>
  <c r="G25" i="10" a="1"/>
  <c r="AP7" i="10" a="1"/>
  <c r="AP21" i="9" a="1"/>
  <c r="AP7" i="9" a="1"/>
  <c r="G22" i="6" a="1"/>
  <c r="G21" i="7" a="1"/>
  <c r="AP13" i="10" a="1"/>
  <c r="AP8" i="9" a="1"/>
  <c r="AP12" i="7" a="1"/>
  <c r="AP5" i="6" a="1"/>
  <c r="G18" i="10" a="1"/>
  <c r="AP31" i="7" a="1"/>
  <c r="G22" i="10" a="1"/>
  <c r="G25" i="9" a="1"/>
  <c r="AP26" i="6" a="1"/>
  <c r="G15" i="8" a="1"/>
  <c r="G15" i="7" a="1"/>
  <c r="G14" i="10" a="1"/>
  <c r="AP16" i="6" a="1"/>
  <c r="AP16" i="7" a="1"/>
  <c r="AP23" i="10" a="1"/>
  <c r="AP22" i="6" a="1"/>
  <c r="AP10" i="7" a="1"/>
  <c r="AP18" i="10" a="1"/>
  <c r="G16" i="10" a="1"/>
  <c r="G30" i="9" a="1"/>
  <c r="AP9" i="7" a="1"/>
  <c r="AP18" i="6" a="1"/>
  <c r="AP7" i="7" a="1"/>
  <c r="AP19" i="7" a="1"/>
  <c r="AP34" i="6" a="1"/>
  <c r="G29" i="8" a="1"/>
  <c r="G22" i="7" a="1"/>
  <c r="AP33" i="6" a="1"/>
  <c r="AP29" i="10" a="1"/>
  <c r="AP13" i="9" a="1"/>
  <c r="G18" i="9" a="1"/>
  <c r="AP10" i="8" a="1"/>
  <c r="AP25" i="8" a="1"/>
  <c r="G23" i="6" a="1"/>
  <c r="AP32" i="10" a="1"/>
  <c r="Q5" i="11" l="1"/>
  <c r="S5" i="11"/>
  <c r="AP5" i="11"/>
  <c r="AN5" i="11" s="1"/>
  <c r="G14" i="11"/>
  <c r="G15" i="11"/>
  <c r="G18" i="11"/>
  <c r="AP20" i="11"/>
  <c r="AN20" i="11" s="1"/>
  <c r="AP22" i="11"/>
  <c r="AN22" i="11" s="1"/>
  <c r="AP24" i="11"/>
  <c r="AN24" i="11" s="1"/>
  <c r="AP26" i="11"/>
  <c r="AN26" i="11" s="1"/>
  <c r="AP7" i="11"/>
  <c r="AN7" i="11" s="1"/>
  <c r="AP19" i="11"/>
  <c r="AN19" i="11" s="1"/>
  <c r="G21" i="11"/>
  <c r="G23" i="11"/>
  <c r="G25" i="11"/>
  <c r="AP8" i="11"/>
  <c r="AN8" i="11" s="1"/>
  <c r="AP14" i="11"/>
  <c r="AN14" i="11" s="1"/>
  <c r="G17" i="11"/>
  <c r="G20" i="11"/>
  <c r="G28" i="11"/>
  <c r="G30" i="11"/>
  <c r="AP34" i="11"/>
  <c r="AN34" i="11" s="1"/>
  <c r="AP9" i="11"/>
  <c r="AN9" i="11" s="1"/>
  <c r="G16" i="11"/>
  <c r="G19" i="11"/>
  <c r="G22" i="11"/>
  <c r="G24" i="11"/>
  <c r="AP28" i="11"/>
  <c r="AN28" i="11" s="1"/>
  <c r="AP30" i="11"/>
  <c r="AN30" i="11" s="1"/>
  <c r="AP16" i="11"/>
  <c r="AN16" i="11" s="1"/>
  <c r="AP18" i="11"/>
  <c r="AN18" i="11" s="1"/>
  <c r="AP33" i="11"/>
  <c r="AN33" i="11" s="1"/>
  <c r="AP11" i="11"/>
  <c r="AN11" i="11" s="1"/>
  <c r="AP12" i="11"/>
  <c r="AN12" i="11" s="1"/>
  <c r="AP21" i="11"/>
  <c r="AN21" i="11" s="1"/>
  <c r="AP23" i="11"/>
  <c r="AN23" i="11" s="1"/>
  <c r="AP25" i="11"/>
  <c r="AN25" i="11" s="1"/>
  <c r="AP27" i="11"/>
  <c r="AN27" i="11" s="1"/>
  <c r="AP29" i="11"/>
  <c r="AN29" i="11" s="1"/>
  <c r="AP32" i="11"/>
  <c r="AN32" i="11" s="1"/>
  <c r="AP36" i="11"/>
  <c r="AN36" i="11" s="1"/>
  <c r="AP6" i="11"/>
  <c r="AN6" i="11" s="1"/>
  <c r="AP10" i="11"/>
  <c r="AN10" i="11" s="1"/>
  <c r="AP13" i="11"/>
  <c r="AN13" i="11" s="1"/>
  <c r="AP15" i="11"/>
  <c r="AN15" i="11" s="1"/>
  <c r="AP17" i="11"/>
  <c r="AN17" i="11" s="1"/>
  <c r="AP31" i="11"/>
  <c r="AN31" i="11" s="1"/>
  <c r="AP35" i="11"/>
  <c r="AN35" i="11" s="1"/>
  <c r="C27" i="11"/>
  <c r="G15" i="10"/>
  <c r="G26" i="10"/>
  <c r="AP7" i="10"/>
  <c r="AN7" i="10" s="1"/>
  <c r="G17" i="10"/>
  <c r="G24" i="10"/>
  <c r="G16" i="10"/>
  <c r="G19" i="10"/>
  <c r="G21" i="10"/>
  <c r="AP22" i="10"/>
  <c r="AN22" i="10" s="1"/>
  <c r="AP24" i="10"/>
  <c r="AN24" i="10" s="1"/>
  <c r="G29" i="10"/>
  <c r="AP9" i="10"/>
  <c r="AN9" i="10" s="1"/>
  <c r="G20" i="10"/>
  <c r="AP5" i="10"/>
  <c r="AN5" i="10" s="1"/>
  <c r="G14" i="10"/>
  <c r="G22" i="10"/>
  <c r="G18" i="10"/>
  <c r="G23" i="10"/>
  <c r="G25" i="10"/>
  <c r="G30" i="10"/>
  <c r="AP11" i="10"/>
  <c r="AN11" i="10" s="1"/>
  <c r="AP12" i="10"/>
  <c r="AN12" i="10" s="1"/>
  <c r="AP20" i="10"/>
  <c r="AN20" i="10" s="1"/>
  <c r="AP21" i="10"/>
  <c r="AN21" i="10" s="1"/>
  <c r="AP23" i="10"/>
  <c r="AN23" i="10" s="1"/>
  <c r="AP25" i="10"/>
  <c r="AN25" i="10" s="1"/>
  <c r="AP27" i="10"/>
  <c r="AN27" i="10" s="1"/>
  <c r="AP29" i="10"/>
  <c r="AN29" i="10" s="1"/>
  <c r="AP32" i="10"/>
  <c r="AN32" i="10" s="1"/>
  <c r="AP36" i="10"/>
  <c r="AN36" i="10" s="1"/>
  <c r="AP26" i="10"/>
  <c r="AN26" i="10" s="1"/>
  <c r="AP28" i="10"/>
  <c r="AN28" i="10" s="1"/>
  <c r="AP30" i="10"/>
  <c r="AN30" i="10" s="1"/>
  <c r="AP34" i="10"/>
  <c r="AN34" i="10" s="1"/>
  <c r="AP8" i="10"/>
  <c r="AN8" i="10" s="1"/>
  <c r="AP14" i="10"/>
  <c r="AN14" i="10" s="1"/>
  <c r="AP16" i="10"/>
  <c r="AN16" i="10" s="1"/>
  <c r="AP18" i="10"/>
  <c r="AN18" i="10" s="1"/>
  <c r="AP33" i="10"/>
  <c r="AN33" i="10" s="1"/>
  <c r="AP6" i="10"/>
  <c r="AN6" i="10" s="1"/>
  <c r="AP10" i="10"/>
  <c r="AN10" i="10" s="1"/>
  <c r="AP13" i="10"/>
  <c r="AN13" i="10" s="1"/>
  <c r="AP15" i="10"/>
  <c r="AN15" i="10" s="1"/>
  <c r="AP17" i="10"/>
  <c r="AN17" i="10" s="1"/>
  <c r="AP19" i="10"/>
  <c r="AN19" i="10" s="1"/>
  <c r="AP31" i="10"/>
  <c r="AN31" i="10" s="1"/>
  <c r="AP35" i="10"/>
  <c r="AN35" i="10" s="1"/>
  <c r="Q5" i="10"/>
  <c r="S5" i="10"/>
  <c r="O5" i="8"/>
  <c r="Z21" i="8" s="1"/>
  <c r="Y21" i="8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C27" i="9"/>
  <c r="G27" i="8"/>
  <c r="G23" i="8"/>
  <c r="G29" i="8"/>
  <c r="G21" i="8"/>
  <c r="G25" i="8"/>
  <c r="G22" i="8"/>
  <c r="G20" i="8"/>
  <c r="G24" i="8"/>
  <c r="G30" i="8"/>
  <c r="AP5" i="8"/>
  <c r="AN5" i="8" s="1"/>
  <c r="AP7" i="8"/>
  <c r="AN7" i="8" s="1"/>
  <c r="AP9" i="8"/>
  <c r="AN9" i="8" s="1"/>
  <c r="G15" i="8"/>
  <c r="G17" i="8"/>
  <c r="G19" i="8"/>
  <c r="AP19" i="8"/>
  <c r="AN19" i="8" s="1"/>
  <c r="AP20" i="8"/>
  <c r="AN20" i="8" s="1"/>
  <c r="AP22" i="8"/>
  <c r="AN22" i="8" s="1"/>
  <c r="AP24" i="8"/>
  <c r="AN24" i="8" s="1"/>
  <c r="AP26" i="8"/>
  <c r="AN26" i="8" s="1"/>
  <c r="AP28" i="8"/>
  <c r="AN28" i="8" s="1"/>
  <c r="AP30" i="8"/>
  <c r="AN30" i="8" s="1"/>
  <c r="AP34" i="8"/>
  <c r="AN34" i="8" s="1"/>
  <c r="AP8" i="8"/>
  <c r="AN8" i="8" s="1"/>
  <c r="AP14" i="8"/>
  <c r="AN14" i="8" s="1"/>
  <c r="AP16" i="8"/>
  <c r="AN16" i="8" s="1"/>
  <c r="AP18" i="8"/>
  <c r="AN18" i="8" s="1"/>
  <c r="AP33" i="8"/>
  <c r="AN33" i="8" s="1"/>
  <c r="AP11" i="8"/>
  <c r="AN11" i="8" s="1"/>
  <c r="G16" i="8"/>
  <c r="AP21" i="8"/>
  <c r="AN21" i="8" s="1"/>
  <c r="AP23" i="8"/>
  <c r="AN23" i="8" s="1"/>
  <c r="AP25" i="8"/>
  <c r="AN25" i="8" s="1"/>
  <c r="AP27" i="8"/>
  <c r="AN27" i="8" s="1"/>
  <c r="AP29" i="8"/>
  <c r="AN29" i="8" s="1"/>
  <c r="AP32" i="8"/>
  <c r="AN32" i="8" s="1"/>
  <c r="AP36" i="8"/>
  <c r="AN36" i="8" s="1"/>
  <c r="AP12" i="8"/>
  <c r="AN12" i="8" s="1"/>
  <c r="G14" i="8"/>
  <c r="G18" i="8"/>
  <c r="AP6" i="8"/>
  <c r="AN6" i="8" s="1"/>
  <c r="AP10" i="8"/>
  <c r="AN10" i="8" s="1"/>
  <c r="AP13" i="8"/>
  <c r="AN13" i="8" s="1"/>
  <c r="AP15" i="8"/>
  <c r="AN15" i="8" s="1"/>
  <c r="AP17" i="8"/>
  <c r="AN17" i="8" s="1"/>
  <c r="AP31" i="8"/>
  <c r="AN31" i="8" s="1"/>
  <c r="AP35" i="8"/>
  <c r="AN35" i="8" s="1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M5" i="7"/>
  <c r="AI21" i="7" s="1"/>
  <c r="O5" i="7"/>
  <c r="AJ21" i="7" s="1"/>
  <c r="Q5" i="7"/>
  <c r="S5" i="7"/>
  <c r="AP8" i="7"/>
  <c r="AN8" i="7" s="1"/>
  <c r="AP14" i="7"/>
  <c r="AN14" i="7" s="1"/>
  <c r="AP16" i="7"/>
  <c r="AN16" i="7" s="1"/>
  <c r="AP18" i="7"/>
  <c r="AN18" i="7" s="1"/>
  <c r="AP20" i="7"/>
  <c r="AN20" i="7" s="1"/>
  <c r="AP22" i="7"/>
  <c r="AN22" i="7" s="1"/>
  <c r="AP24" i="7"/>
  <c r="AN24" i="7" s="1"/>
  <c r="AP26" i="7"/>
  <c r="AN26" i="7" s="1"/>
  <c r="AP28" i="7"/>
  <c r="AN28" i="7" s="1"/>
  <c r="AP30" i="7"/>
  <c r="AN30" i="7" s="1"/>
  <c r="AP34" i="7"/>
  <c r="AN34" i="7" s="1"/>
  <c r="AP11" i="7"/>
  <c r="AN11" i="7" s="1"/>
  <c r="AP12" i="7"/>
  <c r="AN12" i="7" s="1"/>
  <c r="AP33" i="7"/>
  <c r="AN33" i="7" s="1"/>
  <c r="AP6" i="7"/>
  <c r="AN6" i="7" s="1"/>
  <c r="AP10" i="7"/>
  <c r="AN10" i="7" s="1"/>
  <c r="AP13" i="7"/>
  <c r="AN13" i="7" s="1"/>
  <c r="AP15" i="7"/>
  <c r="AN15" i="7" s="1"/>
  <c r="AP17" i="7"/>
  <c r="AN17" i="7" s="1"/>
  <c r="AP19" i="7"/>
  <c r="AN19" i="7" s="1"/>
  <c r="AP21" i="7"/>
  <c r="AN21" i="7" s="1"/>
  <c r="AP23" i="7"/>
  <c r="AN23" i="7" s="1"/>
  <c r="AP25" i="7"/>
  <c r="AN25" i="7" s="1"/>
  <c r="AP27" i="7"/>
  <c r="AN27" i="7" s="1"/>
  <c r="AP29" i="7"/>
  <c r="AN29" i="7" s="1"/>
  <c r="AP32" i="7"/>
  <c r="AN32" i="7" s="1"/>
  <c r="AP36" i="7"/>
  <c r="AN36" i="7" s="1"/>
  <c r="AP5" i="7"/>
  <c r="AN5" i="7" s="1"/>
  <c r="AP7" i="7"/>
  <c r="AN7" i="7" s="1"/>
  <c r="AP9" i="7"/>
  <c r="AN9" i="7" s="1"/>
  <c r="AP31" i="7"/>
  <c r="AN31" i="7" s="1"/>
  <c r="AP35" i="7"/>
  <c r="AN35" i="7" s="1"/>
  <c r="G22" i="6"/>
  <c r="G23" i="6"/>
  <c r="G28" i="6"/>
  <c r="G24" i="6"/>
  <c r="G29" i="6"/>
  <c r="G21" i="6"/>
  <c r="G25" i="6"/>
  <c r="G30" i="6"/>
  <c r="AP22" i="6"/>
  <c r="AN22" i="6" s="1"/>
  <c r="AP8" i="6"/>
  <c r="AN8" i="6" s="1"/>
  <c r="AP14" i="6"/>
  <c r="AN14" i="6" s="1"/>
  <c r="AP16" i="6"/>
  <c r="AN16" i="6" s="1"/>
  <c r="AP18" i="6"/>
  <c r="AN18" i="6" s="1"/>
  <c r="AP33" i="6"/>
  <c r="AN33" i="6" s="1"/>
  <c r="AP5" i="6"/>
  <c r="AN5" i="6" s="1"/>
  <c r="AP7" i="6"/>
  <c r="AN7" i="6" s="1"/>
  <c r="AP9" i="6"/>
  <c r="AN9" i="6" s="1"/>
  <c r="G17" i="6"/>
  <c r="AP24" i="6"/>
  <c r="AN24" i="6" s="1"/>
  <c r="AP26" i="6"/>
  <c r="AN26" i="6" s="1"/>
  <c r="AP28" i="6"/>
  <c r="AN28" i="6" s="1"/>
  <c r="AP30" i="6"/>
  <c r="AN30" i="6" s="1"/>
  <c r="AP11" i="6"/>
  <c r="AN11" i="6" s="1"/>
  <c r="AP12" i="6"/>
  <c r="AN12" i="6" s="1"/>
  <c r="G14" i="6"/>
  <c r="G16" i="6"/>
  <c r="G18" i="6"/>
  <c r="G20" i="6"/>
  <c r="AP21" i="6"/>
  <c r="AN21" i="6" s="1"/>
  <c r="AP23" i="6"/>
  <c r="AN23" i="6" s="1"/>
  <c r="AP25" i="6"/>
  <c r="AN25" i="6" s="1"/>
  <c r="AP27" i="6"/>
  <c r="AN27" i="6" s="1"/>
  <c r="AP29" i="6"/>
  <c r="AN29" i="6" s="1"/>
  <c r="AP32" i="6"/>
  <c r="AN32" i="6" s="1"/>
  <c r="AP36" i="6"/>
  <c r="AN36" i="6" s="1"/>
  <c r="G15" i="6"/>
  <c r="G19" i="6"/>
  <c r="AP20" i="6"/>
  <c r="AN20" i="6" s="1"/>
  <c r="AP34" i="6"/>
  <c r="AN34" i="6" s="1"/>
  <c r="AP6" i="6"/>
  <c r="AN6" i="6" s="1"/>
  <c r="AP10" i="6"/>
  <c r="AN10" i="6" s="1"/>
  <c r="AP13" i="6"/>
  <c r="AN13" i="6" s="1"/>
  <c r="AP15" i="6"/>
  <c r="AN15" i="6" s="1"/>
  <c r="AP17" i="6"/>
  <c r="AN17" i="6" s="1"/>
  <c r="AP19" i="6"/>
  <c r="AN19" i="6" s="1"/>
  <c r="AP31" i="6"/>
  <c r="AN31" i="6" s="1"/>
  <c r="AP35" i="6"/>
  <c r="AN35" i="6" s="1"/>
  <c r="Q5" i="6"/>
  <c r="G27" i="11" a="1"/>
  <c r="G27" i="9" a="1"/>
  <c r="G27" i="11" l="1"/>
  <c r="J8" i="11"/>
  <c r="J5" i="11" s="1"/>
  <c r="Y22" i="11" s="1"/>
  <c r="C29" i="11" s="1"/>
  <c r="J8" i="10"/>
  <c r="J5" i="10" s="1"/>
  <c r="AF20" i="10" s="1"/>
  <c r="C27" i="10" s="1"/>
  <c r="G27" i="9"/>
  <c r="J8" i="8"/>
  <c r="J5" i="8" s="1"/>
  <c r="J8" i="9"/>
  <c r="J5" i="9" s="1"/>
  <c r="J8" i="7"/>
  <c r="J5" i="7" s="1"/>
  <c r="AH21" i="7" s="1"/>
  <c r="C28" i="7" s="1"/>
  <c r="J8" i="6"/>
  <c r="J5" i="6" s="1"/>
  <c r="G27" i="6" a="1"/>
  <c r="G26" i="8" a="1"/>
  <c r="G27" i="10" a="1"/>
  <c r="G28" i="7" a="1"/>
  <c r="G29" i="11" a="1"/>
  <c r="G29" i="11" l="1"/>
  <c r="C26" i="11"/>
  <c r="C12" i="11"/>
  <c r="G27" i="10"/>
  <c r="C28" i="10"/>
  <c r="C12" i="10"/>
  <c r="C26" i="8"/>
  <c r="X21" i="8"/>
  <c r="C28" i="8" s="1"/>
  <c r="G26" i="8"/>
  <c r="C12" i="8"/>
  <c r="AJ19" i="9"/>
  <c r="C26" i="9" s="1"/>
  <c r="C12" i="9"/>
  <c r="C27" i="6"/>
  <c r="AJ19" i="6"/>
  <c r="C26" i="6" s="1"/>
  <c r="G28" i="7"/>
  <c r="C12" i="7"/>
  <c r="G27" i="6"/>
  <c r="C12" i="6"/>
  <c r="G26" i="11" a="1"/>
  <c r="C13" i="7" a="1"/>
  <c r="C13" i="8" a="1"/>
  <c r="C13" i="9" a="1"/>
  <c r="C13" i="10" a="1"/>
  <c r="G26" i="9" a="1"/>
  <c r="G28" i="10" a="1"/>
  <c r="C13" i="6" a="1"/>
  <c r="G28" i="8" a="1"/>
  <c r="G26" i="6" a="1"/>
  <c r="C13" i="11" a="1"/>
  <c r="C13" i="11" l="1"/>
  <c r="G26" i="11"/>
  <c r="C13" i="10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AP21" i="5" a="1"/>
  <c r="AP29" i="5" a="1"/>
  <c r="AP6" i="5" a="1"/>
  <c r="AP13" i="5" a="1"/>
  <c r="AP24" i="5" a="1"/>
  <c r="AP32" i="5" a="1"/>
  <c r="AP31" i="5" a="1"/>
  <c r="AP25" i="5" a="1"/>
  <c r="AP27" i="5" a="1"/>
  <c r="AP34" i="5" a="1"/>
  <c r="AP30" i="5" a="1"/>
  <c r="AP8" i="5" a="1"/>
  <c r="AP9" i="5" a="1"/>
  <c r="AP22" i="5" a="1"/>
  <c r="AP11" i="5" a="1"/>
  <c r="AP16" i="5" a="1"/>
  <c r="AP33" i="5" a="1"/>
  <c r="AP28" i="5" a="1"/>
  <c r="AP14" i="5" a="1"/>
  <c r="AP35" i="5" a="1"/>
  <c r="AP36" i="5" a="1"/>
  <c r="AP19" i="5" a="1"/>
  <c r="AP7" i="5" a="1"/>
  <c r="AP5" i="5" a="1"/>
  <c r="AP15" i="5" a="1"/>
  <c r="AP23" i="5" a="1"/>
  <c r="AP10" i="5" a="1"/>
  <c r="AP17" i="5" a="1"/>
  <c r="AP12" i="5" a="1"/>
  <c r="AP26" i="5" a="1"/>
  <c r="AP18" i="5" a="1"/>
  <c r="AP20" i="5" a="1"/>
  <c r="M5" i="5" l="1"/>
  <c r="AP5" i="5"/>
  <c r="AN5" i="5" s="1"/>
  <c r="AP7" i="5"/>
  <c r="AN7" i="5" s="1"/>
  <c r="AP9" i="5"/>
  <c r="AN9" i="5" s="1"/>
  <c r="AP18" i="5"/>
  <c r="AN18" i="5" s="1"/>
  <c r="AP22" i="5"/>
  <c r="AN22" i="5" s="1"/>
  <c r="AP26" i="5"/>
  <c r="AN26" i="5" s="1"/>
  <c r="AP30" i="5"/>
  <c r="AN30" i="5" s="1"/>
  <c r="AP34" i="5"/>
  <c r="AN34" i="5" s="1"/>
  <c r="AP8" i="5"/>
  <c r="AN8" i="5" s="1"/>
  <c r="AP17" i="5"/>
  <c r="AN17" i="5" s="1"/>
  <c r="AP21" i="5"/>
  <c r="AN21" i="5" s="1"/>
  <c r="AP25" i="5"/>
  <c r="AN25" i="5" s="1"/>
  <c r="AP29" i="5"/>
  <c r="AN29" i="5" s="1"/>
  <c r="AP33" i="5"/>
  <c r="AN33" i="5" s="1"/>
  <c r="AP11" i="5"/>
  <c r="AN11" i="5" s="1"/>
  <c r="AP12" i="5"/>
  <c r="AN12" i="5" s="1"/>
  <c r="AP16" i="5"/>
  <c r="AN16" i="5" s="1"/>
  <c r="AP20" i="5"/>
  <c r="AN20" i="5" s="1"/>
  <c r="AP24" i="5"/>
  <c r="AN24" i="5" s="1"/>
  <c r="AP28" i="5"/>
  <c r="AN28" i="5" s="1"/>
  <c r="AP32" i="5"/>
  <c r="AN32" i="5" s="1"/>
  <c r="AP36" i="5"/>
  <c r="AN36" i="5" s="1"/>
  <c r="AP6" i="5"/>
  <c r="AN6" i="5" s="1"/>
  <c r="AP10" i="5"/>
  <c r="AN10" i="5" s="1"/>
  <c r="AP13" i="5"/>
  <c r="AN13" i="5" s="1"/>
  <c r="AP14" i="5"/>
  <c r="AN14" i="5" s="1"/>
  <c r="AP15" i="5"/>
  <c r="AN15" i="5" s="1"/>
  <c r="AP19" i="5"/>
  <c r="AN19" i="5" s="1"/>
  <c r="AP23" i="5"/>
  <c r="AN23" i="5" s="1"/>
  <c r="AP27" i="5"/>
  <c r="AN27" i="5" s="1"/>
  <c r="AP31" i="5"/>
  <c r="AN31" i="5" s="1"/>
  <c r="AP35" i="5"/>
  <c r="AN35" i="5" s="1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D7" i="1"/>
  <c r="P6" i="1" a="1"/>
  <c r="V6" i="1" a="1"/>
  <c r="AF6" i="1" a="1"/>
  <c r="AH6" i="1" a="1"/>
  <c r="W6" i="1" a="1"/>
  <c r="S6" i="1" a="1"/>
  <c r="AG6" i="1" a="1"/>
  <c r="AA6" i="1" a="1"/>
  <c r="N4" i="1" a="1"/>
  <c r="O6" i="1" a="1"/>
  <c r="N7" i="1"/>
  <c r="AE6" i="1" a="1"/>
  <c r="N6" i="1" a="1"/>
  <c r="E7" i="1"/>
  <c r="F4" i="1" a="1"/>
  <c r="G4" i="1" a="1"/>
  <c r="H4" i="1" a="1"/>
  <c r="C6" i="1" a="1"/>
  <c r="D6" i="1" a="1"/>
  <c r="C14" i="5"/>
  <c r="G6" i="1" a="1"/>
  <c r="R6" i="1" a="1"/>
  <c r="X6" i="1" a="1"/>
  <c r="C4" i="1" a="1"/>
  <c r="R4" i="1" a="1"/>
  <c r="M6" i="1" a="1"/>
  <c r="T6" i="1" a="1"/>
  <c r="F6" i="1" a="1"/>
  <c r="V7" i="1"/>
  <c r="AD6" i="1" a="1"/>
  <c r="C7" i="1"/>
  <c r="E6" i="1" a="1"/>
  <c r="K6" i="1" a="1"/>
  <c r="L6" i="1" a="1"/>
  <c r="V4" i="1" a="1"/>
  <c r="Z4" i="1" a="1"/>
  <c r="AC6" i="1" a="1"/>
  <c r="F7" i="1"/>
  <c r="Y6" i="1" a="1"/>
  <c r="U6" i="1" a="1"/>
  <c r="D4" i="1" a="1"/>
  <c r="AB6" i="1" a="1"/>
  <c r="J7" i="1"/>
  <c r="Q6" i="1" a="1"/>
  <c r="J6" i="1" a="1"/>
  <c r="H6" i="1" a="1"/>
  <c r="G7" i="1"/>
  <c r="I6" i="1" a="1"/>
  <c r="H7" i="1"/>
  <c r="Z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T7" i="1"/>
  <c r="O4" i="1" a="1"/>
  <c r="AF7" i="1"/>
  <c r="AH7" i="1"/>
  <c r="M7" i="1"/>
  <c r="T4" i="1" a="1"/>
  <c r="AB4" i="1" a="1"/>
  <c r="AG7" i="1"/>
  <c r="Y4" i="1" a="1"/>
  <c r="P4" i="1" a="1"/>
  <c r="AB7" i="1"/>
  <c r="I7" i="1"/>
  <c r="R7" i="1"/>
  <c r="K7" i="1"/>
  <c r="AD7" i="1"/>
  <c r="U7" i="1"/>
  <c r="AH4" i="1" a="1"/>
  <c r="L7" i="1"/>
  <c r="AE4" i="1" a="1"/>
  <c r="AC4" i="1" a="1"/>
  <c r="Y7" i="1"/>
  <c r="W4" i="1" a="1"/>
  <c r="I4" i="1" a="1"/>
  <c r="E4" i="1" a="1"/>
  <c r="L4" i="1" a="1"/>
  <c r="AA7" i="1"/>
  <c r="M4" i="1" a="1"/>
  <c r="AA4" i="1" a="1"/>
  <c r="AD4" i="1" a="1"/>
  <c r="U4" i="1" a="1"/>
  <c r="AG4" i="1" a="1"/>
  <c r="W7" i="1"/>
  <c r="Z7" i="1"/>
  <c r="Q7" i="1"/>
  <c r="Q4" i="1" a="1"/>
  <c r="AC7" i="1"/>
  <c r="O7" i="1"/>
  <c r="S4" i="1" a="1"/>
  <c r="K4" i="1" a="1"/>
  <c r="X4" i="1" a="1"/>
  <c r="J4" i="1" a="1"/>
  <c r="P7" i="1"/>
  <c r="S7" i="1"/>
  <c r="X7" i="1"/>
  <c r="AE7" i="1"/>
  <c r="AF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<sst xmlns="http://schemas.openxmlformats.org/spreadsheetml/2006/main" count="2428" uniqueCount="311">
  <si>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</si>
  <si>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</si>
  <si>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</si>
  <si>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</si>
  <si>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</si>
  <si>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</si>
  <si>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</si>
  <si>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</si>
  <si>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</si>
  <si>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</si>
  <si>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</si>
  <si>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</si>
  <si>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</si>
  <si>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</si>
  <si>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</si>
  <si>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</si>
  <si>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</si>
  <si>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</si>
  <si>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</si>
  <si>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</si>
  <si>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</si>
  <si>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</si>
  <si>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</si>
  <si>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</si>
  <si>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</si>
  <si>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</si>
  <si>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</si>
  <si>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</si>
  <si>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</si>
  <si>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</si>
  <si>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</si>
  <si>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</si>
  <si>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</si>
  <si>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</si>
  <si>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</si>
  <si>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</si>
  <si>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</si>
  <si>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</si>
  <si>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</si>
  <si>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</si>
  <si>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</si>
  <si>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</si>
  <si>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</si>
  <si>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</si>
  <si>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</si>
  <si>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</si>
  <si>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</si>
  <si>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</si>
  <si>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</si>
  <si>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</si>
  <si>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</si>
  <si>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</si>
  <si>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</si>
  <si>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</si>
  <si>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</si>
  <si>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</si>
  <si>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</si>
  <si>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</si>
  <si>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</si>
  <si>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</si>
  <si>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</si>
  <si>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</si>
  <si>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</si>
  <si>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</si>
  <si>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</si>
  <si>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</si>
  <si>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</si>
  <si>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</si>
  <si>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</si>
  <si>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</si>
  <si>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</si>
  <si>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</si>
  <si>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</si>
  <si>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</si>
  <si>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</si>
  <si>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</si>
  <si>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</si>
  <si>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</si>
  <si>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</si>
  <si>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</si>
  <si>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</si>
  <si>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</si>
  <si>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</si>
  <si>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</si>
  <si>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</si>
  <si>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</si>
  <si>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</si>
  <si>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</si>
  <si>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</si>
  <si>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</si>
  <si>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</si>
  <si>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</si>
  <si>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</si>
  <si>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</si>
  <si>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</si>
  <si>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</si>
  <si>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</si>
  <si>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</si>
  <si>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</si>
  <si>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</si>
  <si>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</si>
  <si>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</si>
  <si>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</si>
  <si>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</si>
  <si>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</si>
  <si>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</si>
  <si>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</si>
  <si>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</si>
  <si>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</si>
  <si>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</si>
  <si>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</si>
  <si>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</si>
  <si>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</si>
  <si>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</si>
  <si>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</si>
  <si>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</si>
  <si>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</si>
  <si>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</si>
  <si>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</si>
  <si>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</si>
  <si>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</si>
  <si>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</si>
  <si>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</si>
  <si>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</si>
  <si>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</si>
  <si>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</si>
  <si>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</si>
  <si>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</si>
  <si>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</si>
  <si>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</si>
  <si>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</si>
  <si>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</si>
  <si>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</si>
  <si>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</si>
  <si>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</si>
  <si>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</si>
  <si>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</si>
  <si>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</si>
  <si>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</si>
  <si>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</si>
  <si>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</si>
  <si>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</si>
  <si>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</si>
  <si>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</si>
  <si>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</si>
  <si>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</si>
  <si>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</si>
  <si>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</si>
  <si>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</si>
  <si>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</si>
  <si>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</si>
  <si>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</si>
  <si>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</si>
  <si>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</si>
  <si>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</si>
  <si>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</si>
  <si>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</si>
  <si>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</si>
  <si>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</si>
  <si>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</si>
  <si>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</si>
  <si>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</si>
  <si>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</si>
  <si>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</si>
  <si>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</si>
  <si>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</si>
  <si>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</si>
  <si>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</si>
  <si>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</si>
  <si>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</si>
  <si>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</si>
  <si>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</si>
  <si>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</si>
  <si>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</si>
  <si>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</si>
  <si>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</si>
  <si>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</si>
  <si>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</si>
  <si>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</si>
  <si>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</si>
  <si>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</si>
  <si>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</si>
  <si>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</si>
  <si>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</si>
  <si>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</si>
  <si>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</si>
  <si>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</si>
  <si>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</si>
  <si>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</si>
  <si>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</si>
  <si>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</si>
  <si>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</si>
  <si>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</si>
  <si>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</si>
  <si>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</si>
  <si>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</si>
  <si>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</si>
  <si>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</si>
  <si>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</si>
  <si>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</si>
  <si>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</si>
  <si>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</si>
  <si>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</si>
  <si>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</si>
  <si>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</si>
  <si>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</si>
  <si>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</si>
  <si>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</si>
  <si>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</si>
  <si>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</si>
  <si>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</si>
  <si>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</si>
  <si>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</si>
  <si>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</si>
  <si>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</si>
  <si>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</si>
  <si>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</si>
  <si>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</si>
  <si>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</si>
  <si>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</si>
  <si>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</si>
  <si>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</si>
  <si>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</si>
  <si>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</si>
  <si>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</si>
  <si>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</si>
  <si>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</si>
  <si>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</si>
  <si>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</si>
  <si>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</si>
  <si>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</si>
  <si>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</si>
  <si>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</si>
  <si>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</si>
  <si>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</si>
  <si>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</si>
  <si>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</si>
  <si>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</si>
  <si>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</si>
  <si>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</si>
  <si>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</si>
  <si>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</si>
  <si>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</si>
  <si>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</si>
  <si>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</si>
  <si>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</si>
  <si>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</si>
  <si>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</si>
  <si>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</si>
  <si>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</si>
  <si>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</si>
  <si>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</si>
  <si>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</si>
  <si>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</si>
  <si>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</si>
  <si>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</si>
  <si>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</si>
  <si>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</si>
  <si>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</si>
  <si>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</si>
  <si>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</si>
  <si>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</si>
  <si>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</si>
  <si>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</si>
  <si>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</si>
  <si>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</si>
  <si>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</si>
  <si>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</si>
  <si>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</si>
  <si>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</si>
  <si>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</si>
  <si>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</si>
  <si>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</si>
  <si>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</si>
  <si>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</si>
  <si>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</si>
  <si>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</si>
  <si>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</si>
  <si>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</si>
  <si>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</si>
  <si>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</si>
  <si>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</si>
  <si>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</si>
  <si>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</si>
  <si>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</si>
  <si>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</si>
  <si>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</si>
  <si>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</si>
  <si>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</si>
  <si>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</si>
  <si>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</si>
  <si>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</si>
  <si>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</si>
  <si>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</si>
  <si>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C:\exes\gd32\EZ-EX11HAS-PRO_APP_DFU_GD32_Ver2.05(5416).hex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</si>
  <si>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</si>
  <si>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</si>
  <si>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</si>
  <si>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</si>
  <si>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</si>
  <si>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</si>
  <si>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</si>
  <si>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</si>
  <si>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C:\exes\GD32 UPDATE EX11PRO and SP12H2\EZ-SP12H2_APP_DFU_GD32_Ver2.06(FB4D).hex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</si>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</sst>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3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0" fillId="0" borderId="0" xfId="0" quotePrefix="1" applyBorder="1"/>
    <xf numFmtId="0" fontId="0" fillId="2" borderId="21" xfId="0" quotePrefix="1" applyFill="1" applyBorder="1" applyAlignment="1" applyProtection="1">
      <alignment horizontal="center"/>
    </xf>
    <xf numFmtId="0" fontId="0" fillId="2" borderId="15" xfId="0" quotePrefix="1" applyFill="1" applyBorder="1" applyAlignment="1" applyProtection="1">
      <alignment horizontal="center"/>
    </xf>
  </cellXfs>
  <cellStyles count="1">
    <cellStyle name="Normal" xfId="0" builtinId="0"/>
  </cellStyles>
  <dxfs count="28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36"/>
  <sheetViews>
    <sheetView workbookViewId="0">
      <selection activeCell="F22" sqref="F22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7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385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293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296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EB0146D0004503488660768F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ht="15" thickBot="1" x14ac:dyDescent="0.35">
      <c r="B14" s="92" t="s">
        <v>5</v>
      </c>
      <c r="C14" s="48" t="str">
        <f>_xlfn.CONCAT(":1074A000060501",C$12,"8C",IntelHexChecksum(_xlfn.CONCAT("1074A000060501",C$12,"8C")))</f>
        <v>:1074A000060501EB0146D0004503488660768F8CC7</v>
      </c>
      <c r="D14" s="49"/>
      <c r="E14" s="49"/>
      <c r="F14" s="49"/>
      <c r="G14" s="49"/>
      <c r="H14" s="49"/>
      <c r="I14" s="49"/>
      <c r="J14" s="50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C15" s="1"/>
      <c r="G15" s="91"/>
      <c r="H15" s="91"/>
      <c r="I15" s="91"/>
      <c r="J15" s="9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G16" s="91"/>
      <c r="H16" s="91"/>
      <c r="I16" s="91"/>
      <c r="J16" s="91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7:54" x14ac:dyDescent="0.3">
      <c r="G17" s="91"/>
      <c r="H17" s="91"/>
      <c r="I17" s="91"/>
      <c r="J17" s="91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G43" sqref="G43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7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191</v>
      </c>
      <c r="X8" s="65" t="s">
        <v>185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294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295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243</v>
      </c>
      <c r="Z15" s="65" t="s">
        <v>241</v>
      </c>
      <c r="AA15" s="65" t="s">
        <v>197</v>
      </c>
      <c r="AB15" s="65" t="s">
        <v>198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199</v>
      </c>
      <c r="AD16" s="65" t="s">
        <v>72</v>
      </c>
      <c r="AE16" s="65" t="s">
        <v>200</v>
      </c>
      <c r="AF16" s="65" t="s">
        <v>6</v>
      </c>
      <c r="AG16" s="65" t="s">
        <v>76</v>
      </c>
      <c r="AH16" s="65" t="s">
        <v>186</v>
      </c>
      <c r="AI16" s="65" t="s">
        <v>79</v>
      </c>
      <c r="AJ16" s="65" t="s">
        <v>151</v>
      </c>
      <c r="AK16" s="65" t="s">
        <v>201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202</v>
      </c>
      <c r="AB17" s="65" t="s">
        <v>86</v>
      </c>
      <c r="AC17" s="65" t="s">
        <v>122</v>
      </c>
      <c r="AD17" s="65" t="s">
        <v>203</v>
      </c>
      <c r="AE17" s="65" t="s">
        <v>129</v>
      </c>
      <c r="AF17" s="65" t="s">
        <v>189</v>
      </c>
      <c r="AG17" s="65" t="s">
        <v>129</v>
      </c>
      <c r="AH17" s="65" t="s">
        <v>83</v>
      </c>
      <c r="AI17" s="65" t="s">
        <v>195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204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205</v>
      </c>
      <c r="AI18" s="65" t="s">
        <v>206</v>
      </c>
      <c r="AJ18" s="65" t="s">
        <v>186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207</v>
      </c>
      <c r="AD19" s="98" t="s">
        <v>6</v>
      </c>
      <c r="AE19" s="98" t="s">
        <v>182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H46" sqref="H46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7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18</v>
      </c>
      <c r="I7" s="17" t="s">
        <v>28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208</v>
      </c>
      <c r="Y7" s="65" t="s">
        <v>208</v>
      </c>
      <c r="Z7" s="65" t="s">
        <v>208</v>
      </c>
      <c r="AA7" s="65" t="s">
        <v>208</v>
      </c>
      <c r="AB7" s="65" t="s">
        <v>208</v>
      </c>
      <c r="AC7" s="65" t="s">
        <v>208</v>
      </c>
      <c r="AD7" s="65" t="s">
        <v>7</v>
      </c>
      <c r="AE7" s="65" t="s">
        <v>130</v>
      </c>
      <c r="AF7" s="65" t="s">
        <v>209</v>
      </c>
      <c r="AG7" s="65" t="s">
        <v>6</v>
      </c>
      <c r="AH7" s="65" t="s">
        <v>7</v>
      </c>
      <c r="AI7" s="65" t="s">
        <v>6</v>
      </c>
      <c r="AJ7" s="65" t="s">
        <v>7</v>
      </c>
      <c r="AK7" s="65" t="s">
        <v>7</v>
      </c>
      <c r="AL7" s="65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252</v>
      </c>
      <c r="X8" s="65" t="s">
        <v>227</v>
      </c>
      <c r="Y8" s="65" t="s">
        <v>6</v>
      </c>
      <c r="Z8" s="65" t="s">
        <v>91</v>
      </c>
      <c r="AA8" s="65" t="s">
        <v>114</v>
      </c>
      <c r="AB8" s="65" t="s">
        <v>133</v>
      </c>
      <c r="AC8" s="65" t="s">
        <v>134</v>
      </c>
      <c r="AD8" s="65" t="s">
        <v>115</v>
      </c>
      <c r="AE8" s="65" t="s">
        <v>210</v>
      </c>
      <c r="AF8" s="65" t="s">
        <v>211</v>
      </c>
      <c r="AG8" s="65" t="s">
        <v>136</v>
      </c>
      <c r="AH8" s="65" t="s">
        <v>209</v>
      </c>
      <c r="AI8" s="65" t="s">
        <v>110</v>
      </c>
      <c r="AJ8" s="65" t="s">
        <v>212</v>
      </c>
      <c r="AK8" s="65" t="s">
        <v>213</v>
      </c>
      <c r="AL8" s="65" t="s">
        <v>139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140</v>
      </c>
      <c r="X9" s="65" t="s">
        <v>141</v>
      </c>
      <c r="Y9" s="65" t="s">
        <v>212</v>
      </c>
      <c r="Z9" s="65" t="s">
        <v>7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214</v>
      </c>
      <c r="AE10" s="65" t="s">
        <v>7</v>
      </c>
      <c r="AF10" s="65" t="s">
        <v>147</v>
      </c>
      <c r="AG10" s="65" t="s">
        <v>215</v>
      </c>
      <c r="AH10" s="65" t="s">
        <v>148</v>
      </c>
      <c r="AI10" s="65" t="s">
        <v>216</v>
      </c>
      <c r="AJ10" s="65" t="s">
        <v>114</v>
      </c>
      <c r="AK10" s="65" t="s">
        <v>213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256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217</v>
      </c>
      <c r="X11" s="65" t="s">
        <v>7</v>
      </c>
      <c r="Y11" s="65" t="s">
        <v>237</v>
      </c>
      <c r="Z11" s="65" t="s">
        <v>240</v>
      </c>
      <c r="AA11" s="65" t="s">
        <v>127</v>
      </c>
      <c r="AB11" s="65" t="s">
        <v>7</v>
      </c>
      <c r="AC11" s="65" t="s">
        <v>7</v>
      </c>
      <c r="AD11" s="65" t="s">
        <v>218</v>
      </c>
      <c r="AE11" s="65" t="s">
        <v>90</v>
      </c>
      <c r="AF11" s="65" t="s">
        <v>219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220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EB0146D0004507495798A953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221</v>
      </c>
      <c r="Y12" s="65" t="s">
        <v>144</v>
      </c>
      <c r="Z12" s="65" t="s">
        <v>7</v>
      </c>
      <c r="AA12" s="65" t="s">
        <v>237</v>
      </c>
      <c r="AB12" s="65" t="s">
        <v>240</v>
      </c>
      <c r="AC12" s="65" t="s">
        <v>127</v>
      </c>
      <c r="AD12" s="65" t="s">
        <v>7</v>
      </c>
      <c r="AE12" s="65" t="s">
        <v>7</v>
      </c>
      <c r="AF12" s="65" t="s">
        <v>218</v>
      </c>
      <c r="AG12" s="65" t="s">
        <v>7</v>
      </c>
      <c r="AH12" s="65" t="s">
        <v>7</v>
      </c>
      <c r="AI12" s="65" t="s">
        <v>7</v>
      </c>
      <c r="AJ12" s="65" t="s">
        <v>222</v>
      </c>
      <c r="AK12" s="65" t="s">
        <v>7</v>
      </c>
      <c r="AL12" s="65" t="s">
        <v>253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58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134</v>
      </c>
      <c r="X13" s="65" t="s">
        <v>220</v>
      </c>
      <c r="Y13" s="65" t="s">
        <v>92</v>
      </c>
      <c r="Z13" s="65" t="s">
        <v>108</v>
      </c>
      <c r="AA13" s="65" t="s">
        <v>147</v>
      </c>
      <c r="AB13" s="65" t="s">
        <v>147</v>
      </c>
      <c r="AC13" s="65" t="s">
        <v>159</v>
      </c>
      <c r="AD13" s="65" t="s">
        <v>210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223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:1073D000008600FFFFFFFFFFFF0034A301000100</v>
      </c>
      <c r="D14" s="41"/>
      <c r="E14" s="41"/>
      <c r="F14" s="41"/>
      <c r="G14" s="41" t="str" cm="1">
        <f t="array" ref="G14">IntelHexChecksum(RIGHT(C14,40))</f>
        <v>54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244</v>
      </c>
      <c r="Y14" s="65" t="s">
        <v>182</v>
      </c>
      <c r="Z14" s="65" t="s">
        <v>227</v>
      </c>
      <c r="AA14" s="65" t="s">
        <v>238</v>
      </c>
      <c r="AB14" s="65" t="s">
        <v>225</v>
      </c>
      <c r="AC14" s="65" t="s">
        <v>7</v>
      </c>
      <c r="AD14" s="65" t="s">
        <v>210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254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:1073E0000000171F0103807341780ACF74A3574C</v>
      </c>
      <c r="D15" s="41"/>
      <c r="E15" s="41"/>
      <c r="F15" s="41"/>
      <c r="G15" s="41" t="str" cm="1">
        <f t="array" ref="G15">IntelHexChecksum(RIGHT(C15,40))</f>
        <v>24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148</v>
      </c>
      <c r="Z15" s="65" t="s">
        <v>245</v>
      </c>
      <c r="AA15" s="65" t="s">
        <v>246</v>
      </c>
      <c r="AB15" s="65" t="s">
        <v>6</v>
      </c>
      <c r="AC15" s="65" t="s">
        <v>90</v>
      </c>
      <c r="AD15" s="65" t="s">
        <v>91</v>
      </c>
      <c r="AE15" s="65" t="s">
        <v>97</v>
      </c>
      <c r="AF15" s="65" t="s">
        <v>98</v>
      </c>
      <c r="AG15" s="65" t="s">
        <v>99</v>
      </c>
      <c r="AH15" s="65" t="s">
        <v>198</v>
      </c>
      <c r="AI15" s="65" t="s">
        <v>100</v>
      </c>
      <c r="AJ15" s="65" t="s">
        <v>101</v>
      </c>
      <c r="AK15" s="65" t="s">
        <v>102</v>
      </c>
      <c r="AL15" s="65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:1073F000B02309484C0000000101010101010101</v>
      </c>
      <c r="D16" s="41"/>
      <c r="E16" s="41"/>
      <c r="F16" s="41"/>
      <c r="G16" s="41" t="str" cm="1">
        <f t="array" ref="G16">IntelHexChecksum(RIGHT(C16,40))</f>
        <v>15</v>
      </c>
      <c r="H16" s="41"/>
      <c r="I16" s="41"/>
      <c r="J16" s="46"/>
      <c r="V16" s="65"/>
      <c r="W16" s="65" t="s">
        <v>227</v>
      </c>
      <c r="X16" s="65" t="s">
        <v>104</v>
      </c>
      <c r="Y16" s="65" t="s">
        <v>127</v>
      </c>
      <c r="Z16" s="65" t="s">
        <v>105</v>
      </c>
      <c r="AA16" s="65" t="s">
        <v>225</v>
      </c>
      <c r="AB16" s="65" t="s">
        <v>229</v>
      </c>
      <c r="AC16" s="65" t="s">
        <v>239</v>
      </c>
      <c r="AD16" s="65" t="s">
        <v>226</v>
      </c>
      <c r="AE16" s="65" t="s">
        <v>247</v>
      </c>
      <c r="AF16" s="65" t="s">
        <v>230</v>
      </c>
      <c r="AG16" s="65" t="s">
        <v>94</v>
      </c>
      <c r="AH16" s="65" t="s">
        <v>93</v>
      </c>
      <c r="AI16" s="65" t="s">
        <v>200</v>
      </c>
      <c r="AJ16" s="65" t="s">
        <v>196</v>
      </c>
      <c r="AK16" s="65" t="s">
        <v>255</v>
      </c>
      <c r="AL16" s="65" t="s">
        <v>95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96</v>
      </c>
      <c r="X17" s="65" t="s">
        <v>248</v>
      </c>
      <c r="Y17" s="65" t="s">
        <v>140</v>
      </c>
      <c r="Z17" s="65" t="s">
        <v>228</v>
      </c>
      <c r="AA17" s="65" t="s">
        <v>99</v>
      </c>
      <c r="AB17" s="65" t="s">
        <v>109</v>
      </c>
      <c r="AC17" s="65" t="s">
        <v>99</v>
      </c>
      <c r="AD17" s="65" t="s">
        <v>108</v>
      </c>
      <c r="AE17" s="65" t="s">
        <v>110</v>
      </c>
      <c r="AF17" s="65" t="s">
        <v>116</v>
      </c>
      <c r="AG17" s="65" t="s">
        <v>7</v>
      </c>
      <c r="AH17" s="65" t="s">
        <v>229</v>
      </c>
      <c r="AI17" s="65" t="s">
        <v>99</v>
      </c>
      <c r="AJ17" s="65" t="s">
        <v>233</v>
      </c>
      <c r="AK17" s="65" t="s">
        <v>230</v>
      </c>
      <c r="AL17" s="65" t="s">
        <v>231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:10741000B0588A00C48E2100001E023A80187138</v>
      </c>
      <c r="D18" s="41"/>
      <c r="E18" s="41"/>
      <c r="F18" s="41"/>
      <c r="G18" s="41" t="str" cm="1">
        <f t="array" ref="G18">IntelHexChecksum(RIGHT(C18,40))</f>
        <v>CC</v>
      </c>
      <c r="H18" s="41"/>
      <c r="I18" s="41"/>
      <c r="J18" s="46"/>
      <c r="V18" s="65"/>
      <c r="W18" s="65" t="s">
        <v>6</v>
      </c>
      <c r="X18" s="65" t="s">
        <v>112</v>
      </c>
      <c r="Y18" s="65" t="s">
        <v>6</v>
      </c>
      <c r="Z18" s="65" t="s">
        <v>7</v>
      </c>
      <c r="AA18" s="65" t="s">
        <v>7</v>
      </c>
      <c r="AB18" s="65" t="s">
        <v>235</v>
      </c>
      <c r="AC18" s="65" t="s">
        <v>7</v>
      </c>
      <c r="AD18" s="65" t="s">
        <v>208</v>
      </c>
      <c r="AE18" s="65" t="s">
        <v>242</v>
      </c>
      <c r="AF18" s="65" t="s">
        <v>91</v>
      </c>
      <c r="AG18" s="65" t="s">
        <v>234</v>
      </c>
      <c r="AH18" s="65" t="s">
        <v>7</v>
      </c>
      <c r="AI18" s="65" t="s">
        <v>29</v>
      </c>
      <c r="AJ18" s="65" t="s">
        <v>7</v>
      </c>
      <c r="AK18" s="65" t="s">
        <v>115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:107420002D40582C4500C48E2100001E000000FC</v>
      </c>
      <c r="D19" s="41"/>
      <c r="E19" s="41"/>
      <c r="F19" s="41"/>
      <c r="G19" s="41" t="str" cm="1">
        <f t="array" ref="G19">IntelHexChecksum(RIGHT(C19,40))</f>
        <v>99</v>
      </c>
      <c r="H19" s="41"/>
      <c r="I19" s="41"/>
      <c r="J19" s="46"/>
      <c r="V19" s="65"/>
      <c r="W19" s="65" t="s">
        <v>104</v>
      </c>
      <c r="X19" s="65" t="s">
        <v>233</v>
      </c>
      <c r="Y19" s="65" t="s">
        <v>195</v>
      </c>
      <c r="Z19" s="65" t="s">
        <v>6</v>
      </c>
      <c r="AA19" s="65" t="s">
        <v>90</v>
      </c>
      <c r="AB19" s="65" t="s">
        <v>91</v>
      </c>
      <c r="AC19" s="65" t="s">
        <v>97</v>
      </c>
      <c r="AD19" s="65" t="s">
        <v>6</v>
      </c>
      <c r="AE19" s="65" t="s">
        <v>157</v>
      </c>
      <c r="AF19" s="65" t="s">
        <v>7</v>
      </c>
      <c r="AG19" s="65" t="s">
        <v>7</v>
      </c>
      <c r="AH19" s="65" t="s">
        <v>111</v>
      </c>
      <c r="AI19" s="65" t="s">
        <v>236</v>
      </c>
      <c r="AJ19" s="65" t="s">
        <v>226</v>
      </c>
      <c r="AK19" s="65" t="s">
        <v>237</v>
      </c>
      <c r="AL19" s="65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:107430000056412D53503030330A202020200000</v>
      </c>
      <c r="D20" s="41"/>
      <c r="E20" s="41"/>
      <c r="F20" s="41"/>
      <c r="G20" s="41" t="str" cm="1">
        <f t="array" ref="G20">IntelHexChecksum(RIGHT(C20,40))</f>
        <v>C8</v>
      </c>
      <c r="H20" s="41"/>
      <c r="I20" s="41"/>
      <c r="J20" s="46"/>
      <c r="V20" s="65"/>
      <c r="W20" s="65" t="s">
        <v>115</v>
      </c>
      <c r="X20" s="65" t="s">
        <v>114</v>
      </c>
      <c r="Y20" s="65" t="s">
        <v>99</v>
      </c>
      <c r="Z20" s="65" t="s">
        <v>232</v>
      </c>
      <c r="AA20" s="65" t="s">
        <v>98</v>
      </c>
      <c r="AB20" s="65" t="s">
        <v>249</v>
      </c>
      <c r="AC20" s="65" t="s">
        <v>6</v>
      </c>
      <c r="AD20" s="65" t="s">
        <v>250</v>
      </c>
      <c r="AE20" s="65" t="s">
        <v>224</v>
      </c>
      <c r="AF20" s="65" t="s">
        <v>7</v>
      </c>
      <c r="AG20" s="65" t="s">
        <v>7</v>
      </c>
      <c r="AH20" s="65" t="s">
        <v>94</v>
      </c>
      <c r="AI20" s="65" t="s">
        <v>7</v>
      </c>
      <c r="AJ20" s="65" t="s">
        <v>251</v>
      </c>
      <c r="AK20" s="65" t="s">
        <v>116</v>
      </c>
      <c r="AL20" s="65" t="s">
        <v>224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:1074400000FD003B461F8C3C000A202020202020</v>
      </c>
      <c r="D21" s="41"/>
      <c r="E21" s="41"/>
      <c r="F21" s="41"/>
      <c r="G21" s="41" t="str" cm="1">
        <f t="array" ref="G21">IntelHexChecksum(RIGHT(C21,40))</f>
        <v>0D</v>
      </c>
      <c r="H21" s="41"/>
      <c r="I21" s="41"/>
      <c r="J21" s="46"/>
      <c r="V21" s="65"/>
      <c r="W21" s="65" t="s">
        <v>6</v>
      </c>
      <c r="X21" s="65" t="s">
        <v>7</v>
      </c>
      <c r="Y21" s="65" t="s">
        <v>7</v>
      </c>
      <c r="Z21" s="65" t="s">
        <v>7</v>
      </c>
      <c r="AA21" s="98" t="s">
        <v>181</v>
      </c>
      <c r="AB21" s="98" t="s">
        <v>6</v>
      </c>
      <c r="AC21" s="98" t="s">
        <v>182</v>
      </c>
      <c r="AD21" s="98" t="s">
        <v>183</v>
      </c>
      <c r="AE21" s="98" t="s">
        <v>7</v>
      </c>
      <c r="AF21" s="100" t="str">
        <f>C5</f>
        <v>45</v>
      </c>
      <c r="AG21" s="100" t="str">
        <f>G5</f>
        <v>07</v>
      </c>
      <c r="AH21" s="100" t="str">
        <f>J5</f>
        <v>49</v>
      </c>
      <c r="AI21" s="100" t="str">
        <f>M5</f>
        <v>57</v>
      </c>
      <c r="AJ21" s="100" t="str">
        <f>O5</f>
        <v>98</v>
      </c>
      <c r="AK21" s="100" t="str">
        <f>Q5</f>
        <v>A9</v>
      </c>
      <c r="AL21" s="100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:107450000147020370F15C010203040507901213</v>
      </c>
      <c r="D22" s="41"/>
      <c r="E22" s="41"/>
      <c r="F22" s="41"/>
      <c r="G22" s="41" t="str" cm="1">
        <f t="array" ref="G22">IntelHexChecksum(RIGHT(C22,40))</f>
        <v>57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254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:1074600014161F2021223C3D3E5D5E5F60616263</v>
      </c>
      <c r="D23" s="41"/>
      <c r="E23" s="41"/>
      <c r="F23" s="41"/>
      <c r="G23" s="41" t="str" cm="1">
        <f t="array" ref="G23">IntelHexChecksum(RIGHT(C23,40))</f>
        <v>19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:107470006465662F097F071507505706003D07C0</v>
      </c>
      <c r="D24" s="41"/>
      <c r="E24" s="41"/>
      <c r="F24" s="41"/>
      <c r="G24" s="41" t="str" cm="1">
        <f t="array" ref="G24">IntelHexChecksum(RIGHT(C24,40))</f>
        <v>52</v>
      </c>
      <c r="H24" s="41"/>
      <c r="I24" s="41"/>
      <c r="J24" s="46"/>
      <c r="Y24" s="65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:107480005F7E0183010000E200FF72030C001000</v>
      </c>
      <c r="D25" s="41"/>
      <c r="E25" s="41"/>
      <c r="F25" s="41"/>
      <c r="G25" s="41" t="str" cm="1">
        <f t="array" ref="G25">IntelHexChecksum(RIGHT(C25,40))</f>
        <v>28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:10749000787820C084010203040143000067D85D</v>
      </c>
      <c r="D26" s="41"/>
      <c r="E26" s="41"/>
      <c r="F26" s="41"/>
      <c r="G26" s="41" t="str" cm="1">
        <f t="array" ref="G26">IntelHexChecksum(RIGHT(C26,40))</f>
        <v>AE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:1074A000C401788007E305DF01E50F00006000E6</v>
      </c>
      <c r="D27" s="41"/>
      <c r="E27" s="41"/>
      <c r="F27" s="41"/>
      <c r="G27" s="41" t="str" cm="1">
        <f t="array" ref="G27">IntelHexChecksum(RIGHT(C27,40))</f>
        <v>16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:1074B000060F01000000EB0146D0004507495798</v>
      </c>
      <c r="D28" s="41"/>
      <c r="E28" s="41"/>
      <c r="F28" s="41"/>
      <c r="G28" s="41" t="str" cm="1">
        <f t="array" ref="G28">IntelHexChecksum(RIGHT(C28,40))</f>
        <v>30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:1074C000A9530000000000000000000000000000</v>
      </c>
      <c r="D29" s="41"/>
      <c r="E29" s="41"/>
      <c r="F29" s="41"/>
      <c r="G29" s="41" t="str" cm="1">
        <f t="array" ref="G29">IntelHexChecksum(RIGHT(C29,40))</f>
        <v>C0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:1074D000004700FFFFFFFFFFFF00371801000100</v>
      </c>
      <c r="D30" s="49"/>
      <c r="E30" s="49"/>
      <c r="F30" s="49"/>
      <c r="G30" s="49" t="str" cm="1">
        <f t="array" ref="G30">IntelHexChecksum(RIGHT(C30,40))</f>
        <v>1A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4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4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4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4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4" x14ac:dyDescent="0.3">
      <c r="B37" s="94"/>
      <c r="C37" s="95"/>
    </row>
    <row r="38" spans="2:54" x14ac:dyDescent="0.3">
      <c r="B38" s="94"/>
      <c r="C38" s="95"/>
    </row>
    <row r="39" spans="2:54" x14ac:dyDescent="0.3">
      <c r="B39" s="94"/>
      <c r="C39" s="95"/>
    </row>
    <row r="40" spans="2:54" x14ac:dyDescent="0.3"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</row>
    <row r="41" spans="2:54" x14ac:dyDescent="0.3"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</row>
    <row r="42" spans="2:54" x14ac:dyDescent="0.3"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</row>
    <row r="43" spans="2:54" x14ac:dyDescent="0.3"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</row>
    <row r="44" spans="2:54" x14ac:dyDescent="0.3"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</row>
    <row r="45" spans="2:54" x14ac:dyDescent="0.3"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</row>
    <row r="46" spans="2:54" x14ac:dyDescent="0.3"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</row>
    <row r="47" spans="2:54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</row>
    <row r="48" spans="2:54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7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100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74</v>
      </c>
      <c r="X8" s="65" t="s">
        <v>74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146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264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86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:1073D000008600ffffffffffff004ca312a80101</v>
      </c>
      <c r="D14" s="41"/>
      <c r="E14" s="41"/>
      <c r="F14" s="41"/>
      <c r="G14" s="41" t="str" cm="1">
        <f t="array" ref="G14">IntelHexChecksum(RIGHT(C14,40))</f>
        <v>82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:1073E00001011f1f0103800000780ede50a3544c</v>
      </c>
      <c r="D15" s="41"/>
      <c r="E15" s="41"/>
      <c r="F15" s="41"/>
      <c r="G15" s="41" t="str" cm="1">
        <f t="array" ref="G15">IntelHexChecksum(RIGHT(C15,40))</f>
        <v>E2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96</v>
      </c>
      <c r="Z15" s="65" t="s">
        <v>258</v>
      </c>
      <c r="AA15" s="65" t="s">
        <v>192</v>
      </c>
      <c r="AB15" s="65" t="s">
        <v>93</v>
      </c>
      <c r="AC15" s="65" t="s">
        <v>94</v>
      </c>
      <c r="AD15" s="65" t="s">
        <v>96</v>
      </c>
      <c r="AE15" s="65" t="s">
        <v>95</v>
      </c>
      <c r="AF15" s="65" t="s">
        <v>80</v>
      </c>
      <c r="AG15" s="65" t="s">
        <v>199</v>
      </c>
      <c r="AH15" s="65" t="s">
        <v>72</v>
      </c>
      <c r="AI15" s="65" t="s">
        <v>200</v>
      </c>
      <c r="AJ15" s="65" t="s">
        <v>29</v>
      </c>
      <c r="AK15" s="65" t="s">
        <v>74</v>
      </c>
      <c r="AL15" s="65" t="s">
        <v>105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104</v>
      </c>
      <c r="X16" s="65" t="s">
        <v>98</v>
      </c>
      <c r="Y16" s="65" t="s">
        <v>102</v>
      </c>
      <c r="Z16" s="65" t="s">
        <v>97</v>
      </c>
      <c r="AA16" s="65" t="s">
        <v>101</v>
      </c>
      <c r="AB16" s="65" t="s">
        <v>100</v>
      </c>
      <c r="AC16" s="65" t="s">
        <v>30</v>
      </c>
      <c r="AD16" s="65" t="s">
        <v>91</v>
      </c>
      <c r="AE16" s="65" t="s">
        <v>90</v>
      </c>
      <c r="AF16" s="65" t="s">
        <v>6</v>
      </c>
      <c r="AG16" s="65" t="s">
        <v>154</v>
      </c>
      <c r="AH16" s="65" t="s">
        <v>140</v>
      </c>
      <c r="AI16" s="65" t="s">
        <v>99</v>
      </c>
      <c r="AJ16" s="65" t="s">
        <v>99</v>
      </c>
      <c r="AK16" s="65" t="s">
        <v>259</v>
      </c>
      <c r="AL16" s="65" t="s">
        <v>99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99</v>
      </c>
      <c r="X17" s="65" t="s">
        <v>80</v>
      </c>
      <c r="Y17" s="65" t="s">
        <v>110</v>
      </c>
      <c r="Z17" s="65" t="s">
        <v>7</v>
      </c>
      <c r="AA17" s="65" t="s">
        <v>110</v>
      </c>
      <c r="AB17" s="65" t="s">
        <v>97</v>
      </c>
      <c r="AC17" s="65" t="s">
        <v>7</v>
      </c>
      <c r="AD17" s="65" t="s">
        <v>242</v>
      </c>
      <c r="AE17" s="65" t="s">
        <v>91</v>
      </c>
      <c r="AF17" s="65" t="s">
        <v>85</v>
      </c>
      <c r="AG17" s="65" t="s">
        <v>7</v>
      </c>
      <c r="AH17" s="65" t="s">
        <v>29</v>
      </c>
      <c r="AI17" s="65" t="s">
        <v>7</v>
      </c>
      <c r="AJ17" s="65" t="s">
        <v>202</v>
      </c>
      <c r="AK17" s="65" t="s">
        <v>86</v>
      </c>
      <c r="AL17" s="65" t="s">
        <v>122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260</v>
      </c>
      <c r="X18" s="65" t="s">
        <v>260</v>
      </c>
      <c r="Y18" s="65" t="s">
        <v>260</v>
      </c>
      <c r="Z18" s="65" t="s">
        <v>260</v>
      </c>
      <c r="AA18" s="65" t="s">
        <v>7</v>
      </c>
      <c r="AB18" s="65" t="s">
        <v>114</v>
      </c>
      <c r="AC18" s="65" t="s">
        <v>6</v>
      </c>
      <c r="AD18" s="65" t="s">
        <v>90</v>
      </c>
      <c r="AE18" s="65" t="s">
        <v>91</v>
      </c>
      <c r="AF18" s="65" t="s">
        <v>97</v>
      </c>
      <c r="AG18" s="65" t="s">
        <v>111</v>
      </c>
      <c r="AH18" s="65" t="s">
        <v>88</v>
      </c>
      <c r="AI18" s="65" t="s">
        <v>72</v>
      </c>
      <c r="AJ18" s="65" t="s">
        <v>89</v>
      </c>
      <c r="AK18" s="65" t="s">
        <v>6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114</v>
      </c>
      <c r="X19" s="99" t="s">
        <v>261</v>
      </c>
      <c r="Y19" s="99" t="s">
        <v>112</v>
      </c>
      <c r="Z19" s="99" t="s">
        <v>80</v>
      </c>
      <c r="AA19" s="99" t="s">
        <v>7</v>
      </c>
      <c r="AB19" s="99" t="s">
        <v>7</v>
      </c>
      <c r="AC19" s="99" t="s">
        <v>87</v>
      </c>
      <c r="AD19" s="99" t="s">
        <v>7</v>
      </c>
      <c r="AE19" s="99" t="s">
        <v>205</v>
      </c>
      <c r="AF19" s="99" t="s">
        <v>206</v>
      </c>
      <c r="AG19" s="99" t="s">
        <v>6</v>
      </c>
      <c r="AH19" s="99" t="s">
        <v>262</v>
      </c>
      <c r="AI19" s="99" t="s">
        <v>195</v>
      </c>
      <c r="AJ19" s="99" t="s">
        <v>198</v>
      </c>
      <c r="AK19" s="99" t="s">
        <v>6</v>
      </c>
      <c r="AL19" s="99" t="s">
        <v>82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:107430000018550f873c000a2020202020200000</v>
      </c>
      <c r="D20" s="41"/>
      <c r="E20" s="41"/>
      <c r="F20" s="41"/>
      <c r="G20" s="41" t="str" cm="1">
        <f t="array" ref="G20">IntelHexChecksum(RIGHT(C20,40))</f>
        <v>43</v>
      </c>
      <c r="H20" s="41"/>
      <c r="I20" s="41"/>
      <c r="J20" s="46"/>
      <c r="V20" s="65"/>
      <c r="W20" s="99" t="s">
        <v>98</v>
      </c>
      <c r="X20" s="99" t="s">
        <v>83</v>
      </c>
      <c r="Y20" s="99" t="s">
        <v>7</v>
      </c>
      <c r="Z20" s="99" t="s">
        <v>82</v>
      </c>
      <c r="AA20" s="99" t="s">
        <v>116</v>
      </c>
      <c r="AB20" s="99" t="s">
        <v>259</v>
      </c>
      <c r="AC20" s="99" t="s">
        <v>6</v>
      </c>
      <c r="AD20" s="99" t="s">
        <v>87</v>
      </c>
      <c r="AE20" s="99" t="s">
        <v>76</v>
      </c>
      <c r="AF20" s="99" t="s">
        <v>76</v>
      </c>
      <c r="AG20" s="98" t="s">
        <v>207</v>
      </c>
      <c r="AH20" s="98" t="s">
        <v>6</v>
      </c>
      <c r="AI20" s="98" t="s">
        <v>182</v>
      </c>
      <c r="AJ20" s="98" t="s">
        <v>120</v>
      </c>
      <c r="AK20" s="98" t="s">
        <v>7</v>
      </c>
      <c r="AL20" s="100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100" t="str">
        <f>G5</f>
        <v>04</v>
      </c>
      <c r="X21" s="100" t="str">
        <f>J5</f>
        <v>49</v>
      </c>
      <c r="Y21" s="100" t="str">
        <f>M5</f>
        <v>57</v>
      </c>
      <c r="Z21" s="100" t="str">
        <f>O5</f>
        <v>98</v>
      </c>
      <c r="AA21" s="100" t="str">
        <f>Q5</f>
        <v>A9</v>
      </c>
      <c r="AB21" s="100" t="str">
        <f>S5</f>
        <v>53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:107450000107020366f055616066655f5e5d6210</v>
      </c>
      <c r="D22" s="41"/>
      <c r="E22" s="41"/>
      <c r="F22" s="41"/>
      <c r="G22" s="41" t="str" cm="1">
        <f t="array" ref="G22">IntelHexChecksum(RIGHT(C22,40))</f>
        <v>5C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110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:107460001f22200514041312110302012c090707</v>
      </c>
      <c r="D23" s="41"/>
      <c r="E23" s="41"/>
      <c r="F23" s="41"/>
      <c r="G23" s="41" t="str" cm="1">
        <f t="array" ref="G23">IntelHexChecksum(RIGHT(C23,40))</f>
        <v>1F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:107470000d07075f570057040072030c001000b8</v>
      </c>
      <c r="D24" s="41"/>
      <c r="E24" s="41"/>
      <c r="F24" s="41"/>
      <c r="G24" s="41" t="str" cm="1">
        <f t="array" ref="G24">IntelHexChecksum(RIGHT(C24,40))</f>
        <v>97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:107480003ce04242424200800102030467d85dc4</v>
      </c>
      <c r="D25" s="41"/>
      <c r="E25" s="41"/>
      <c r="F25" s="41"/>
      <c r="G25" s="41" t="str" cm="1">
        <f t="array" ref="G25">IntelHexChecksum(RIGHT(C25,40))</f>
        <v>EE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:107490000178800b835f0000e200fbe5018b8490</v>
      </c>
      <c r="D26" s="41"/>
      <c r="E26" s="41"/>
      <c r="F26" s="41"/>
      <c r="G26" s="41" t="str" cm="1">
        <f t="array" ref="G26">IntelHexChecksum(RIGHT(C26,40))</f>
        <v>A4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:1074A00001e305c000e3060d01e20f0feb0146d0</v>
      </c>
      <c r="D27" s="41"/>
      <c r="E27" s="41"/>
      <c r="F27" s="41"/>
      <c r="G27" s="41" t="str" cm="1">
        <f t="array" ref="G27">IntelHexChecksum(RIGHT(C27,40))</f>
        <v>3A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:1074B000004704495798A9530000000000000000</v>
      </c>
      <c r="D28" s="41"/>
      <c r="E28" s="41"/>
      <c r="F28" s="41"/>
      <c r="G28" s="41" t="str" cm="1">
        <f t="array" ref="G28">IntelHexChecksum(RIGHT(C28,40))</f>
        <v>4D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:1074D000005700FFFFFFFFFFFF00371801000100</v>
      </c>
      <c r="D30" s="49"/>
      <c r="E30" s="49"/>
      <c r="F30" s="49"/>
      <c r="G30" s="49" t="str" cm="1">
        <f t="array" ref="G30">IntelHexChecksum(RIGHT(C30,40))</f>
        <v>0A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F43" sqref="F43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7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266</v>
      </c>
      <c r="AF7" s="65" t="s">
        <v>196</v>
      </c>
      <c r="AG7" s="65" t="s">
        <v>86</v>
      </c>
      <c r="AH7" s="65" t="s">
        <v>97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</v>
      </c>
      <c r="X8" s="65" t="s">
        <v>132</v>
      </c>
      <c r="Y8" s="65" t="s">
        <v>6</v>
      </c>
      <c r="Z8" s="65" t="s">
        <v>91</v>
      </c>
      <c r="AA8" s="65" t="s">
        <v>114</v>
      </c>
      <c r="AB8" s="65" t="s">
        <v>267</v>
      </c>
      <c r="AC8" s="65" t="s">
        <v>268</v>
      </c>
      <c r="AD8" s="65" t="s">
        <v>115</v>
      </c>
      <c r="AE8" s="65" t="s">
        <v>269</v>
      </c>
      <c r="AF8" s="65" t="s">
        <v>270</v>
      </c>
      <c r="AG8" s="65" t="s">
        <v>271</v>
      </c>
      <c r="AH8" s="65" t="s">
        <v>190</v>
      </c>
      <c r="AI8" s="65" t="s">
        <v>193</v>
      </c>
      <c r="AJ8" s="65" t="s">
        <v>137</v>
      </c>
      <c r="AK8" s="65" t="s">
        <v>272</v>
      </c>
      <c r="AL8" s="65" t="s">
        <v>273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 t="s">
        <v>292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261</v>
      </c>
      <c r="X9" s="65" t="s">
        <v>141</v>
      </c>
      <c r="Y9" s="65" t="s">
        <v>189</v>
      </c>
      <c r="Z9" s="65" t="s">
        <v>127</v>
      </c>
      <c r="AA9" s="65" t="s">
        <v>142</v>
      </c>
      <c r="AB9" s="65" t="s">
        <v>7</v>
      </c>
      <c r="AC9" s="65" t="s">
        <v>145</v>
      </c>
      <c r="AD9" s="65" t="s">
        <v>7</v>
      </c>
      <c r="AE9" s="65" t="s">
        <v>143</v>
      </c>
      <c r="AF9" s="65" t="s">
        <v>114</v>
      </c>
      <c r="AG9" s="65" t="s">
        <v>274</v>
      </c>
      <c r="AH9" s="65" t="s">
        <v>7</v>
      </c>
      <c r="AI9" s="65" t="s">
        <v>143</v>
      </c>
      <c r="AJ9" s="65" t="s">
        <v>7</v>
      </c>
      <c r="AK9" s="65" t="s">
        <v>263</v>
      </c>
      <c r="AL9" s="65" t="s">
        <v>83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90</v>
      </c>
      <c r="AD10" s="65" t="s">
        <v>152</v>
      </c>
      <c r="AE10" s="65" t="s">
        <v>114</v>
      </c>
      <c r="AF10" s="65" t="s">
        <v>128</v>
      </c>
      <c r="AG10" s="65" t="s">
        <v>153</v>
      </c>
      <c r="AH10" s="65" t="s">
        <v>113</v>
      </c>
      <c r="AI10" s="65" t="s">
        <v>123</v>
      </c>
      <c r="AJ10" s="65" t="s">
        <v>106</v>
      </c>
      <c r="AK10" s="65" t="s">
        <v>150</v>
      </c>
      <c r="AL10" s="65" t="s">
        <v>154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144</v>
      </c>
      <c r="X11" s="65" t="s">
        <v>7</v>
      </c>
      <c r="Y11" s="65" t="s">
        <v>275</v>
      </c>
      <c r="Z11" s="65" t="s">
        <v>87</v>
      </c>
      <c r="AA11" s="65" t="s">
        <v>195</v>
      </c>
      <c r="AB11" s="65" t="s">
        <v>7</v>
      </c>
      <c r="AC11" s="65" t="s">
        <v>7</v>
      </c>
      <c r="AD11" s="65" t="s">
        <v>79</v>
      </c>
      <c r="AE11" s="65" t="s">
        <v>75</v>
      </c>
      <c r="AF11" s="65" t="s">
        <v>74</v>
      </c>
      <c r="AG11" s="65" t="s">
        <v>7</v>
      </c>
      <c r="AH11" s="65" t="s">
        <v>262</v>
      </c>
      <c r="AI11" s="65" t="s">
        <v>276</v>
      </c>
      <c r="AJ11" s="65" t="s">
        <v>7</v>
      </c>
      <c r="AK11" s="65" t="s">
        <v>277</v>
      </c>
      <c r="AL11" s="65" t="s">
        <v>147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278</v>
      </c>
      <c r="X12" s="65" t="s">
        <v>162</v>
      </c>
      <c r="Y12" s="65" t="s">
        <v>157</v>
      </c>
      <c r="Z12" s="65" t="s">
        <v>7</v>
      </c>
      <c r="AA12" s="65" t="s">
        <v>262</v>
      </c>
      <c r="AB12" s="65" t="s">
        <v>277</v>
      </c>
      <c r="AC12" s="65" t="s">
        <v>196</v>
      </c>
      <c r="AD12" s="65" t="s">
        <v>7</v>
      </c>
      <c r="AE12" s="65" t="s">
        <v>7</v>
      </c>
      <c r="AF12" s="65" t="s">
        <v>277</v>
      </c>
      <c r="AG12" s="65" t="s">
        <v>7</v>
      </c>
      <c r="AH12" s="65" t="s">
        <v>7</v>
      </c>
      <c r="AI12" s="65" t="s">
        <v>7</v>
      </c>
      <c r="AJ12" s="65" t="s">
        <v>155</v>
      </c>
      <c r="AK12" s="65" t="s">
        <v>7</v>
      </c>
      <c r="AL12" s="65" t="s">
        <v>279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137</v>
      </c>
      <c r="X13" s="65" t="s">
        <v>134</v>
      </c>
      <c r="Y13" s="65" t="s">
        <v>182</v>
      </c>
      <c r="Z13" s="65" t="s">
        <v>108</v>
      </c>
      <c r="AA13" s="65" t="s">
        <v>189</v>
      </c>
      <c r="AB13" s="65" t="s">
        <v>123</v>
      </c>
      <c r="AC13" s="65" t="s">
        <v>123</v>
      </c>
      <c r="AD13" s="65" t="s">
        <v>150</v>
      </c>
      <c r="AE13" s="65" t="s">
        <v>280</v>
      </c>
      <c r="AF13" s="65" t="s">
        <v>147</v>
      </c>
      <c r="AG13" s="65" t="s">
        <v>189</v>
      </c>
      <c r="AH13" s="65" t="s">
        <v>281</v>
      </c>
      <c r="AI13" s="65" t="s">
        <v>7</v>
      </c>
      <c r="AJ13" s="65" t="s">
        <v>7</v>
      </c>
      <c r="AK13" s="65" t="s">
        <v>7</v>
      </c>
      <c r="AL13" s="65" t="s">
        <v>160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:1073D000008600ffffffffffff0029633c040101</v>
      </c>
      <c r="D14" s="41"/>
      <c r="E14" s="41"/>
      <c r="F14" s="41"/>
      <c r="G14" s="41" t="str" cm="1">
        <f t="array" ref="G14">IntelHexChecksum(RIGHT(C14,40))</f>
        <v>5F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252</v>
      </c>
      <c r="Y14" s="65" t="s">
        <v>78</v>
      </c>
      <c r="Z14" s="65" t="s">
        <v>185</v>
      </c>
      <c r="AA14" s="65" t="s">
        <v>121</v>
      </c>
      <c r="AB14" s="65" t="s">
        <v>86</v>
      </c>
      <c r="AC14" s="65" t="s">
        <v>7</v>
      </c>
      <c r="AD14" s="65" t="s">
        <v>119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120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:1073E00001010019010380dd7d782b6be9ab544c</v>
      </c>
      <c r="D15" s="41"/>
      <c r="E15" s="41"/>
      <c r="F15" s="41"/>
      <c r="G15" s="41" t="str" cm="1">
        <f t="array" ref="G15">IntelHexChecksum(RIGHT(C15,40))</f>
        <v>62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199</v>
      </c>
      <c r="Z15" s="65" t="s">
        <v>159</v>
      </c>
      <c r="AA15" s="65" t="s">
        <v>192</v>
      </c>
      <c r="AB15" s="65" t="s">
        <v>198</v>
      </c>
      <c r="AC15" s="65" t="s">
        <v>282</v>
      </c>
      <c r="AD15" s="65" t="s">
        <v>283</v>
      </c>
      <c r="AE15" s="65" t="s">
        <v>284</v>
      </c>
      <c r="AF15" s="65" t="s">
        <v>104</v>
      </c>
      <c r="AG15" s="65" t="s">
        <v>97</v>
      </c>
      <c r="AH15" s="65" t="s">
        <v>101</v>
      </c>
      <c r="AI15" s="65" t="s">
        <v>30</v>
      </c>
      <c r="AJ15" s="65" t="s">
        <v>100</v>
      </c>
      <c r="AK15" s="65" t="s">
        <v>90</v>
      </c>
      <c r="AL15" s="65" t="s">
        <v>91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:1073F000af240b484a21080095008180b3008100</v>
      </c>
      <c r="D16" s="41"/>
      <c r="E16" s="41"/>
      <c r="F16" s="41"/>
      <c r="G16" s="41" t="str" cm="1">
        <f t="array" ref="G16">IntelHexChecksum(RIGHT(C16,40))</f>
        <v>2A</v>
      </c>
      <c r="H16" s="41"/>
      <c r="I16" s="41"/>
      <c r="J16" s="46"/>
      <c r="V16" s="65"/>
      <c r="W16" s="65" t="s">
        <v>72</v>
      </c>
      <c r="X16" s="65" t="s">
        <v>199</v>
      </c>
      <c r="Y16" s="65" t="s">
        <v>80</v>
      </c>
      <c r="Z16" s="65" t="s">
        <v>94</v>
      </c>
      <c r="AA16" s="65" t="s">
        <v>93</v>
      </c>
      <c r="AB16" s="65" t="s">
        <v>200</v>
      </c>
      <c r="AC16" s="65" t="s">
        <v>196</v>
      </c>
      <c r="AD16" s="65" t="s">
        <v>255</v>
      </c>
      <c r="AE16" s="65" t="s">
        <v>95</v>
      </c>
      <c r="AF16" s="65" t="s">
        <v>96</v>
      </c>
      <c r="AG16" s="65" t="s">
        <v>285</v>
      </c>
      <c r="AH16" s="65" t="s">
        <v>91</v>
      </c>
      <c r="AI16" s="65" t="s">
        <v>85</v>
      </c>
      <c r="AJ16" s="65" t="s">
        <v>7</v>
      </c>
      <c r="AK16" s="65" t="s">
        <v>29</v>
      </c>
      <c r="AL16" s="65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:10740000a9c0010101010101023a801871382d40</v>
      </c>
      <c r="D17" s="41"/>
      <c r="E17" s="41"/>
      <c r="F17" s="41"/>
      <c r="G17" s="41" t="str" cm="1">
        <f t="array" ref="G17">IntelHexChecksum(RIGHT(C17,40))</f>
        <v>23</v>
      </c>
      <c r="H17" s="41"/>
      <c r="I17" s="41"/>
      <c r="J17" s="46"/>
      <c r="V17" s="65"/>
      <c r="W17" s="65" t="s">
        <v>113</v>
      </c>
      <c r="X17" s="65" t="s">
        <v>86</v>
      </c>
      <c r="Y17" s="65" t="s">
        <v>122</v>
      </c>
      <c r="Z17" s="65" t="s">
        <v>134</v>
      </c>
      <c r="AA17" s="65" t="s">
        <v>129</v>
      </c>
      <c r="AB17" s="65" t="s">
        <v>134</v>
      </c>
      <c r="AC17" s="65" t="s">
        <v>129</v>
      </c>
      <c r="AD17" s="65" t="s">
        <v>114</v>
      </c>
      <c r="AE17" s="65" t="s">
        <v>121</v>
      </c>
      <c r="AF17" s="65" t="s">
        <v>6</v>
      </c>
      <c r="AG17" s="65" t="s">
        <v>90</v>
      </c>
      <c r="AH17" s="65" t="s">
        <v>91</v>
      </c>
      <c r="AI17" s="65" t="s">
        <v>97</v>
      </c>
      <c r="AJ17" s="65" t="s">
        <v>142</v>
      </c>
      <c r="AK17" s="65" t="s">
        <v>29</v>
      </c>
      <c r="AL17" s="65" t="s">
        <v>128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:10741000582c4500a2e28400001e3f1f008b5100</v>
      </c>
      <c r="D18" s="41"/>
      <c r="E18" s="41"/>
      <c r="F18" s="41"/>
      <c r="G18" s="41" t="str" cm="1">
        <f t="array" ref="G18">IntelHexChecksum(RIGHT(C18,40))</f>
        <v>43</v>
      </c>
      <c r="H18" s="41"/>
      <c r="I18" s="41"/>
      <c r="J18" s="46"/>
      <c r="V18" s="65"/>
      <c r="W18" s="65" t="s">
        <v>29</v>
      </c>
      <c r="X18" s="65" t="s">
        <v>141</v>
      </c>
      <c r="Y18" s="65" t="s">
        <v>29</v>
      </c>
      <c r="Z18" s="65" t="s">
        <v>150</v>
      </c>
      <c r="AA18" s="65" t="s">
        <v>29</v>
      </c>
      <c r="AB18" s="65" t="s">
        <v>286</v>
      </c>
      <c r="AC18" s="65" t="s">
        <v>29</v>
      </c>
      <c r="AD18" s="65" t="s">
        <v>111</v>
      </c>
      <c r="AE18" s="65" t="s">
        <v>88</v>
      </c>
      <c r="AF18" s="65" t="s">
        <v>72</v>
      </c>
      <c r="AG18" s="65" t="s">
        <v>89</v>
      </c>
      <c r="AH18" s="65" t="s">
        <v>6</v>
      </c>
      <c r="AI18" s="65" t="s">
        <v>115</v>
      </c>
      <c r="AJ18" s="65" t="s">
        <v>114</v>
      </c>
      <c r="AK18" s="65" t="s">
        <v>91</v>
      </c>
      <c r="AL18" s="65" t="s">
        <v>82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:107420001c30c88743008b1c6300001c000000fc</v>
      </c>
      <c r="D19" s="41"/>
      <c r="E19" s="41"/>
      <c r="F19" s="41"/>
      <c r="G19" s="41" t="str" cm="1">
        <f t="array" ref="G19">IntelHexChecksum(RIGHT(C19,40))</f>
        <v>5C</v>
      </c>
      <c r="H19" s="41"/>
      <c r="I19" s="41"/>
      <c r="J19" s="46"/>
      <c r="V19" s="65"/>
      <c r="W19" s="99" t="s">
        <v>98</v>
      </c>
      <c r="X19" s="99" t="s">
        <v>287</v>
      </c>
      <c r="Y19" s="99" t="s">
        <v>6</v>
      </c>
      <c r="Z19" s="99" t="s">
        <v>87</v>
      </c>
      <c r="AA19" s="99" t="s">
        <v>7</v>
      </c>
      <c r="AB19" s="99" t="s">
        <v>205</v>
      </c>
      <c r="AC19" s="99" t="s">
        <v>288</v>
      </c>
      <c r="AD19" s="99" t="s">
        <v>76</v>
      </c>
      <c r="AE19" s="99" t="s">
        <v>7</v>
      </c>
      <c r="AF19" s="99" t="s">
        <v>83</v>
      </c>
      <c r="AG19" s="99" t="s">
        <v>128</v>
      </c>
      <c r="AH19" s="99" t="s">
        <v>289</v>
      </c>
      <c r="AI19" s="99" t="s">
        <v>116</v>
      </c>
      <c r="AJ19" s="99" t="s">
        <v>99</v>
      </c>
      <c r="AK19" s="99" t="s">
        <v>6</v>
      </c>
      <c r="AL19" s="99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:1074300000494c4146504a2d2d5831304a390000</v>
      </c>
      <c r="D20" s="41"/>
      <c r="E20" s="41"/>
      <c r="F20" s="41"/>
      <c r="G20" s="41" t="str" cm="1">
        <f t="array" ref="G20">IntelHexChecksum(RIGHT(C20,40))</f>
        <v>00</v>
      </c>
      <c r="H20" s="41"/>
      <c r="I20" s="41"/>
      <c r="J20" s="46"/>
      <c r="V20" s="65"/>
      <c r="W20" s="99" t="s">
        <v>7</v>
      </c>
      <c r="X20" s="99" t="s">
        <v>7</v>
      </c>
      <c r="Y20" s="98" t="s">
        <v>207</v>
      </c>
      <c r="Z20" s="98" t="s">
        <v>6</v>
      </c>
      <c r="AA20" s="98" t="s">
        <v>182</v>
      </c>
      <c r="AB20" s="98" t="s">
        <v>120</v>
      </c>
      <c r="AC20" s="98" t="s">
        <v>7</v>
      </c>
      <c r="AD20" s="100" t="str">
        <f>C5</f>
        <v>47</v>
      </c>
      <c r="AE20" s="100" t="str">
        <f>G5</f>
        <v>04</v>
      </c>
      <c r="AF20" s="100" t="str">
        <f>J5</f>
        <v>49</v>
      </c>
      <c r="AG20" s="100" t="str">
        <f>M5</f>
        <v>57</v>
      </c>
      <c r="AH20" s="100" t="str">
        <f>O5</f>
        <v>98</v>
      </c>
      <c r="AI20" s="100" t="str">
        <f>Q5</f>
        <v>A9</v>
      </c>
      <c r="AJ20" s="100" t="str">
        <f>S5</f>
        <v>53</v>
      </c>
      <c r="AK20" s="99" t="s">
        <v>6</v>
      </c>
      <c r="AL20" s="99" t="s">
        <v>151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:1074400000fd00173d1a8a3c000a202020202020</v>
      </c>
      <c r="D21" s="41"/>
      <c r="E21" s="41"/>
      <c r="F21" s="41"/>
      <c r="G21" s="41" t="str" cm="1">
        <f t="array" ref="G21">IntelHexChecksum(RIGHT(C21,40))</f>
        <v>41</v>
      </c>
      <c r="H21" s="41"/>
      <c r="I21" s="41"/>
      <c r="J21" s="46"/>
      <c r="V21" s="65"/>
      <c r="W21" s="99" t="s">
        <v>7</v>
      </c>
      <c r="X21" s="99" t="s">
        <v>242</v>
      </c>
      <c r="Y21" s="99" t="s">
        <v>276</v>
      </c>
      <c r="Z21" s="99" t="s">
        <v>120</v>
      </c>
      <c r="AA21" s="99" t="s">
        <v>79</v>
      </c>
      <c r="AB21" s="99" t="s">
        <v>104</v>
      </c>
      <c r="AC21" s="99" t="s">
        <v>84</v>
      </c>
      <c r="AD21" s="99" t="s">
        <v>290</v>
      </c>
      <c r="AE21" s="99" t="s">
        <v>192</v>
      </c>
      <c r="AF21" s="99" t="s">
        <v>7</v>
      </c>
      <c r="AG21" s="99" t="s">
        <v>275</v>
      </c>
      <c r="AH21" s="99" t="s">
        <v>87</v>
      </c>
      <c r="AI21" s="99" t="s">
        <v>195</v>
      </c>
      <c r="AJ21" s="99" t="s">
        <v>7</v>
      </c>
      <c r="AK21" s="99" t="s">
        <v>7</v>
      </c>
      <c r="AL21" s="99" t="s">
        <v>79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:1074500001d002035e3355909f85942004131112</v>
      </c>
      <c r="D22" s="41"/>
      <c r="E22" s="41"/>
      <c r="F22" s="41"/>
      <c r="G22" s="41" t="str" cm="1">
        <f t="array" ref="G22">IntelHexChecksum(RIGHT(C22,40))</f>
        <v>CE</v>
      </c>
      <c r="H22" s="41"/>
      <c r="I22" s="41"/>
      <c r="J22" s="46"/>
      <c r="V22" s="65"/>
      <c r="W22" s="99" t="s">
        <v>7</v>
      </c>
      <c r="X22" s="99" t="s">
        <v>7</v>
      </c>
      <c r="Y22" s="99" t="s">
        <v>7</v>
      </c>
      <c r="Z22" s="99" t="s">
        <v>7</v>
      </c>
      <c r="AA22" s="99" t="s">
        <v>7</v>
      </c>
      <c r="AB22" s="99" t="s">
        <v>7</v>
      </c>
      <c r="AC22" s="99" t="s">
        <v>7</v>
      </c>
      <c r="AD22" s="99" t="s">
        <v>7</v>
      </c>
      <c r="AE22" s="99" t="s">
        <v>7</v>
      </c>
      <c r="AF22" s="99" t="s">
        <v>7</v>
      </c>
      <c r="AG22" s="99" t="s">
        <v>7</v>
      </c>
      <c r="AH22" s="99" t="s">
        <v>7</v>
      </c>
      <c r="AI22" s="99" t="s">
        <v>7</v>
      </c>
      <c r="AJ22" s="99" t="s">
        <v>7</v>
      </c>
      <c r="AK22" s="99" t="s">
        <v>7</v>
      </c>
      <c r="AL22" s="98" t="s">
        <v>77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:1074600002035d5e5f606162636465667c030c00</v>
      </c>
      <c r="D23" s="41"/>
      <c r="E23" s="41"/>
      <c r="F23" s="41"/>
      <c r="G23" s="41" t="str" cm="1">
        <f t="array" ref="G23">IntelHexChecksum(RIGHT(C23,40))</f>
        <v>BD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:107470001000383ce041ff41ff808a0102030408</v>
      </c>
      <c r="D24" s="41"/>
      <c r="E24" s="41"/>
      <c r="F24" s="41"/>
      <c r="G24" s="41" t="str" cm="1">
        <f t="array" ref="G24">IntelHexChecksum(RIGHT(C24,40))</f>
        <v>0C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:1074800010181048105810681067d85dc4017880</v>
      </c>
      <c r="D25" s="41"/>
      <c r="E25" s="41"/>
      <c r="F25" s="41"/>
      <c r="G25" s="41" t="str" cm="1">
        <f t="array" ref="G25">IntelHexChecksum(RIGHT(C25,40))</f>
        <v>33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:1074900003e305c301e200fbe40f00c018e60607</v>
      </c>
      <c r="D26" s="41"/>
      <c r="E26" s="41"/>
      <c r="F26" s="41"/>
      <c r="G26" s="41" t="str" cm="1">
        <f t="array" ref="G26">IntelHexChecksum(RIGHT(C26,40))</f>
        <v>A2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:1074A00001000000eb0146d0004704495798A953</v>
      </c>
      <c r="D27" s="41"/>
      <c r="E27" s="41"/>
      <c r="F27" s="41"/>
      <c r="G27" s="41" t="str" cm="1">
        <f t="array" ref="G27">IntelHexChecksum(RIGHT(C27,40))</f>
        <v>5A</v>
      </c>
      <c r="H27" s="41"/>
      <c r="I27" s="41"/>
      <c r="J27" s="46"/>
      <c r="W27" s="99"/>
      <c r="X27" s="98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:1074B000011d007251d01e206e285500a2e28400</v>
      </c>
      <c r="D28" s="41"/>
      <c r="E28" s="41"/>
      <c r="F28" s="41"/>
      <c r="G28" s="41" t="str" cm="1">
        <f t="array" ref="G28">IntelHexChecksum(RIGHT(C28,40))</f>
        <v>EA</v>
      </c>
      <c r="H28" s="41"/>
      <c r="I28" s="41"/>
      <c r="J28" s="46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:1074C000001e0000000000000000000000000000</v>
      </c>
      <c r="D29" s="41"/>
      <c r="E29" s="41"/>
      <c r="F29" s="41"/>
      <c r="G29" s="41" t="str" cm="1">
        <f t="array" ref="G29">IntelHexChecksum(RIGHT(C29,40))</f>
        <v>9E</v>
      </c>
      <c r="H29" s="41"/>
      <c r="I29" s="41"/>
      <c r="J29" s="46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8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:1074D000007f00FFFFFFFFFFFF00371801000100</v>
      </c>
      <c r="D30" s="49"/>
      <c r="E30" s="49"/>
      <c r="F30" s="49"/>
      <c r="G30" s="49" t="str" cm="1">
        <f t="array" ref="G30">IntelHexChecksum(RIGHT(C30,40))</f>
        <v>E2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 t="s">
        <v>291</v>
      </c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tabSelected="1" zoomScale="90" zoomScaleNormal="90" workbookViewId="0">
      <selection activeCell="M35" sqref="M35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309</v>
      </c>
      <c r="W3" s="67" t="s">
        <v>165</v>
      </c>
    </row>
    <row r="4" spans="2:54" ht="15" thickBot="1" x14ac:dyDescent="0.35">
      <c r="M4" t="s">
        <v>306</v>
      </c>
      <c r="O4" t="s">
        <v>306</v>
      </c>
      <c r="Q4" t="s">
        <v>306</v>
      </c>
      <c r="S4" t="s">
        <v>306</v>
      </c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44</v>
      </c>
      <c r="D5" s="103"/>
      <c r="E5" s="103"/>
      <c r="F5" s="104"/>
      <c r="G5" s="105" t="str">
        <f>DEC2HEX(_xlfn.BITLSHIFT(BIN2DEC(G8),3)+_xlfn.BITLSHIFT(BIN2DEC(H8),2)+BIN2DEC(I8),2)</f>
        <v>53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72</v>
      </c>
      <c r="N5" s="102"/>
      <c r="O5" s="101" t="str">
        <f>BIN2HEX(_xlfn.CONCAT(O8,P8),2)</f>
        <v>72</v>
      </c>
      <c r="P5" s="102"/>
      <c r="Q5" s="101" t="str">
        <f>BIN2HEX(_xlfn.CONCAT(Q8,R8),2)</f>
        <v>9F</v>
      </c>
      <c r="R5" s="102"/>
      <c r="S5" s="101" t="str">
        <f>BIN2HEX(_xlfn.CONCAT(S8,T8),2)</f>
        <v>68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7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19</v>
      </c>
      <c r="G7" s="10">
        <v>0</v>
      </c>
      <c r="H7" s="16" t="s">
        <v>19</v>
      </c>
      <c r="I7" s="17" t="s">
        <v>28</v>
      </c>
      <c r="J7" s="28">
        <v>385</v>
      </c>
      <c r="K7" s="29">
        <v>0</v>
      </c>
      <c r="L7" s="18" t="s">
        <v>37</v>
      </c>
      <c r="M7" s="25" t="s">
        <v>309</v>
      </c>
      <c r="N7" s="38" t="s">
        <v>19</v>
      </c>
      <c r="O7" s="25" t="s">
        <v>309</v>
      </c>
      <c r="P7" s="38" t="s">
        <v>19</v>
      </c>
      <c r="Q7" s="25" t="s">
        <v>309</v>
      </c>
      <c r="R7" s="25" t="s">
        <v>309</v>
      </c>
      <c r="S7" s="25" t="s">
        <v>309</v>
      </c>
      <c r="T7" s="25" t="s">
        <v>309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132</v>
      </c>
      <c r="AF7" s="65" t="s">
        <v>202</v>
      </c>
      <c r="AG7" s="65" t="s">
        <v>147</v>
      </c>
      <c r="AH7" s="65" t="s">
        <v>7</v>
      </c>
      <c r="AI7" s="65" t="s">
        <v>6</v>
      </c>
      <c r="AJ7" s="65" t="s">
        <v>7</v>
      </c>
      <c r="AK7" s="65" t="s">
        <v>7</v>
      </c>
      <c r="AL7" s="65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0</v>
      </c>
      <c r="G8" s="12">
        <v>1010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00</v>
      </c>
      <c r="M8" s="31">
        <v>111001</v>
      </c>
      <c r="N8" s="23">
        <f>IF(AND(EXACT(N7,"Supported"),EXACT(P7,"Not Supported")),1,0)</f>
        <v>0</v>
      </c>
      <c r="O8" s="31">
        <v>111001</v>
      </c>
      <c r="P8" s="23">
        <f>IF(AND(EXACT(P7,"Supported"),EXACT(N7,"Not Supported")),1,0)</f>
        <v>0</v>
      </c>
      <c r="Q8" s="22">
        <v>10011</v>
      </c>
      <c r="R8" s="21">
        <v>111</v>
      </c>
      <c r="S8" s="107" t="s">
        <v>307</v>
      </c>
      <c r="T8" s="108" t="s">
        <v>308</v>
      </c>
      <c r="V8" s="65"/>
      <c r="W8" s="65" t="s">
        <v>102</v>
      </c>
      <c r="X8" s="65" t="s">
        <v>74</v>
      </c>
      <c r="Y8" s="65" t="s">
        <v>6</v>
      </c>
      <c r="Z8" s="65" t="s">
        <v>91</v>
      </c>
      <c r="AA8" s="65" t="s">
        <v>114</v>
      </c>
      <c r="AB8" s="65" t="s">
        <v>133</v>
      </c>
      <c r="AC8" s="65" t="s">
        <v>134</v>
      </c>
      <c r="AD8" s="65" t="s">
        <v>115</v>
      </c>
      <c r="AE8" s="65" t="s">
        <v>119</v>
      </c>
      <c r="AF8" s="65" t="s">
        <v>135</v>
      </c>
      <c r="AG8" s="65" t="s">
        <v>136</v>
      </c>
      <c r="AH8" s="65" t="s">
        <v>131</v>
      </c>
      <c r="AI8" s="65" t="s">
        <v>110</v>
      </c>
      <c r="AJ8" s="65" t="s">
        <v>137</v>
      </c>
      <c r="AK8" s="65" t="s">
        <v>138</v>
      </c>
      <c r="AL8" s="65" t="s">
        <v>139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140</v>
      </c>
      <c r="X9" s="65" t="s">
        <v>141</v>
      </c>
      <c r="Y9" s="65" t="s">
        <v>137</v>
      </c>
      <c r="Z9" s="65" t="s">
        <v>7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129</v>
      </c>
      <c r="AG9" s="65" t="s">
        <v>6</v>
      </c>
      <c r="AH9" s="65" t="s">
        <v>129</v>
      </c>
      <c r="AI9" s="65" t="s">
        <v>129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303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 t="s">
        <v>305</v>
      </c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104</v>
      </c>
      <c r="AC10" s="65" t="s">
        <v>142</v>
      </c>
      <c r="AD10" s="65" t="s">
        <v>146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304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106" t="s">
        <v>310</v>
      </c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89</v>
      </c>
      <c r="Z11" s="65" t="s">
        <v>125</v>
      </c>
      <c r="AA11" s="65" t="s">
        <v>127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EB0146D00044534872729F68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89</v>
      </c>
      <c r="AB12" s="65" t="s">
        <v>125</v>
      </c>
      <c r="AC12" s="65" t="s">
        <v>127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155</v>
      </c>
      <c r="AK12" s="65" t="s">
        <v>7</v>
      </c>
      <c r="AL12" s="65" t="s">
        <v>156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0E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92</v>
      </c>
      <c r="X13" s="65" t="s">
        <v>136</v>
      </c>
      <c r="Y13" s="65" t="s">
        <v>93</v>
      </c>
      <c r="Z13" s="65" t="s">
        <v>242</v>
      </c>
      <c r="AA13" s="65" t="s">
        <v>104</v>
      </c>
      <c r="AB13" s="65" t="s">
        <v>297</v>
      </c>
      <c r="AC13" s="65" t="s">
        <v>95</v>
      </c>
      <c r="AD13" s="65" t="s">
        <v>298</v>
      </c>
      <c r="AE13" s="65" t="s">
        <v>299</v>
      </c>
      <c r="AF13" s="65" t="s">
        <v>119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160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:1073D000008600ffffffffffff0019b830000100</v>
      </c>
      <c r="D14" s="41"/>
      <c r="E14" s="41"/>
      <c r="F14" s="41"/>
      <c r="G14" s="41" t="str" cm="1">
        <f t="array" ref="G14">IntelHexChecksum(RIGHT(C14,40))</f>
        <v>2B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300</v>
      </c>
      <c r="Y14" s="65" t="s">
        <v>182</v>
      </c>
      <c r="Z14" s="65" t="s">
        <v>74</v>
      </c>
      <c r="AA14" s="65" t="s">
        <v>118</v>
      </c>
      <c r="AB14" s="65" t="s">
        <v>86</v>
      </c>
      <c r="AC14" s="65" t="s">
        <v>7</v>
      </c>
      <c r="AD14" s="65" t="s">
        <v>119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147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:1073E0000000141f0103807341780acf74a3574c</v>
      </c>
      <c r="D15" s="41"/>
      <c r="E15" s="41"/>
      <c r="F15" s="41"/>
      <c r="G15" s="41" t="str" cm="1">
        <f t="array" ref="G15">IntelHexChecksum(RIGHT(C15,40))</f>
        <v>27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301</v>
      </c>
      <c r="Z15" s="65" t="s">
        <v>258</v>
      </c>
      <c r="AA15" s="65" t="s">
        <v>199</v>
      </c>
      <c r="AB15" s="65" t="s">
        <v>98</v>
      </c>
      <c r="AC15" s="65" t="s">
        <v>195</v>
      </c>
      <c r="AD15" s="65" t="s">
        <v>91</v>
      </c>
      <c r="AE15" s="65" t="s">
        <v>6</v>
      </c>
      <c r="AF15" s="65" t="s">
        <v>100</v>
      </c>
      <c r="AG15" s="65" t="s">
        <v>101</v>
      </c>
      <c r="AH15" s="65" t="s">
        <v>102</v>
      </c>
      <c r="AI15" s="65" t="s">
        <v>103</v>
      </c>
      <c r="AJ15" s="65" t="s">
        <v>99</v>
      </c>
      <c r="AK15" s="65" t="s">
        <v>198</v>
      </c>
      <c r="AL15" s="65" t="s">
        <v>74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:1073F000b02309484c000000010101ff01ffff01</v>
      </c>
      <c r="D16" s="41"/>
      <c r="E16" s="41"/>
      <c r="F16" s="41"/>
      <c r="G16" s="41" t="str" cm="1">
        <f t="array" ref="G16">IntelHexChecksum(RIGHT(C16,40))</f>
        <v>1B</v>
      </c>
      <c r="H16" s="41"/>
      <c r="I16" s="41"/>
      <c r="J16" s="46"/>
      <c r="V16" s="65"/>
      <c r="W16" s="65" t="s">
        <v>104</v>
      </c>
      <c r="X16" s="65" t="s">
        <v>105</v>
      </c>
      <c r="Y16" s="65" t="s">
        <v>72</v>
      </c>
      <c r="Z16" s="65" t="s">
        <v>80</v>
      </c>
      <c r="AA16" s="65" t="s">
        <v>94</v>
      </c>
      <c r="AB16" s="65" t="s">
        <v>93</v>
      </c>
      <c r="AC16" s="65" t="s">
        <v>200</v>
      </c>
      <c r="AD16" s="65" t="s">
        <v>255</v>
      </c>
      <c r="AE16" s="65" t="s">
        <v>95</v>
      </c>
      <c r="AF16" s="65" t="s">
        <v>96</v>
      </c>
      <c r="AG16" s="65" t="s">
        <v>199</v>
      </c>
      <c r="AH16" s="65" t="s">
        <v>196</v>
      </c>
      <c r="AI16" s="65" t="s">
        <v>90</v>
      </c>
      <c r="AJ16" s="65" t="s">
        <v>116</v>
      </c>
      <c r="AK16" s="65" t="s">
        <v>30</v>
      </c>
      <c r="AL16" s="65" t="s">
        <v>109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:10740000010101010101012008e80030f2705a80</v>
      </c>
      <c r="D17" s="41"/>
      <c r="E17" s="41"/>
      <c r="F17" s="41"/>
      <c r="G17" s="41" t="str" cm="1">
        <f t="array" ref="G17">IntelHexChecksum(RIGHT(C17,40))</f>
        <v>F9</v>
      </c>
      <c r="H17" s="41"/>
      <c r="I17" s="41"/>
      <c r="J17" s="46"/>
      <c r="V17" s="65"/>
      <c r="W17" s="65" t="s">
        <v>127</v>
      </c>
      <c r="X17" s="65" t="s">
        <v>75</v>
      </c>
      <c r="Y17" s="65" t="s">
        <v>106</v>
      </c>
      <c r="Z17" s="65" t="s">
        <v>107</v>
      </c>
      <c r="AA17" s="65" t="s">
        <v>140</v>
      </c>
      <c r="AB17" s="65" t="s">
        <v>77</v>
      </c>
      <c r="AC17" s="65" t="s">
        <v>99</v>
      </c>
      <c r="AD17" s="65" t="s">
        <v>109</v>
      </c>
      <c r="AE17" s="65" t="s">
        <v>99</v>
      </c>
      <c r="AF17" s="65" t="s">
        <v>108</v>
      </c>
      <c r="AG17" s="65" t="s">
        <v>276</v>
      </c>
      <c r="AH17" s="65" t="s">
        <v>97</v>
      </c>
      <c r="AI17" s="65" t="s">
        <v>6</v>
      </c>
      <c r="AJ17" s="65" t="s">
        <v>78</v>
      </c>
      <c r="AK17" s="65" t="s">
        <v>99</v>
      </c>
      <c r="AL17" s="65" t="s">
        <v>83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:10741000b0588a00c48e2100001e023a80187138</v>
      </c>
      <c r="D18" s="41"/>
      <c r="E18" s="41"/>
      <c r="F18" s="41"/>
      <c r="G18" s="41" t="str" cm="1">
        <f t="array" ref="G18">IntelHexChecksum(RIGHT(C18,40))</f>
        <v>CC</v>
      </c>
      <c r="H18" s="41"/>
      <c r="I18" s="41"/>
      <c r="J18" s="46"/>
      <c r="V18" s="65"/>
      <c r="W18" s="65" t="s">
        <v>80</v>
      </c>
      <c r="X18" s="65" t="s">
        <v>81</v>
      </c>
      <c r="Y18" s="65" t="s">
        <v>6</v>
      </c>
      <c r="Z18" s="65" t="s">
        <v>111</v>
      </c>
      <c r="AA18" s="65" t="s">
        <v>97</v>
      </c>
      <c r="AB18" s="65" t="s">
        <v>91</v>
      </c>
      <c r="AC18" s="65" t="s">
        <v>112</v>
      </c>
      <c r="AD18" s="65" t="s">
        <v>6</v>
      </c>
      <c r="AE18" s="65" t="s">
        <v>7</v>
      </c>
      <c r="AF18" s="65" t="s">
        <v>7</v>
      </c>
      <c r="AG18" s="65" t="s">
        <v>87</v>
      </c>
      <c r="AH18" s="65" t="s">
        <v>7</v>
      </c>
      <c r="AI18" s="65" t="s">
        <v>129</v>
      </c>
      <c r="AJ18" s="65" t="s">
        <v>84</v>
      </c>
      <c r="AK18" s="65" t="s">
        <v>91</v>
      </c>
      <c r="AL18" s="65" t="s">
        <v>85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U18" t="s">
        <v>309</v>
      </c>
    </row>
    <row r="19" spans="2:54" x14ac:dyDescent="0.3">
      <c r="B19" s="54" t="s">
        <v>171</v>
      </c>
      <c r="C19" s="93" t="str">
        <f t="shared" si="2"/>
        <v>:107420002d40582c4500c48e2100001e000000fc</v>
      </c>
      <c r="D19" s="41"/>
      <c r="E19" s="41"/>
      <c r="F19" s="41"/>
      <c r="G19" s="41" t="str" cm="1">
        <f t="array" ref="G19">IntelHexChecksum(RIGHT(C19,40))</f>
        <v>99</v>
      </c>
      <c r="H19" s="41"/>
      <c r="I19" s="41"/>
      <c r="J19" s="46"/>
      <c r="V19" s="65"/>
      <c r="W19" s="99" t="s">
        <v>7</v>
      </c>
      <c r="X19" s="99" t="s">
        <v>29</v>
      </c>
      <c r="Y19" s="99" t="s">
        <v>7</v>
      </c>
      <c r="Z19" s="99" t="s">
        <v>115</v>
      </c>
      <c r="AA19" s="99" t="s">
        <v>115</v>
      </c>
      <c r="AB19" s="99" t="s">
        <v>104</v>
      </c>
      <c r="AC19" s="99" t="s">
        <v>7</v>
      </c>
      <c r="AD19" s="99" t="s">
        <v>114</v>
      </c>
      <c r="AE19" s="99" t="s">
        <v>6</v>
      </c>
      <c r="AF19" s="99" t="s">
        <v>90</v>
      </c>
      <c r="AG19" s="99" t="s">
        <v>91</v>
      </c>
      <c r="AH19" s="99" t="s">
        <v>97</v>
      </c>
      <c r="AI19" s="99" t="s">
        <v>298</v>
      </c>
      <c r="AJ19" s="99" t="s">
        <v>88</v>
      </c>
      <c r="AK19" s="99" t="s">
        <v>72</v>
      </c>
      <c r="AL19" s="99" t="s">
        <v>89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:10743000004d537461722044656d6f0a20200000</v>
      </c>
      <c r="D20" s="41"/>
      <c r="E20" s="41"/>
      <c r="F20" s="41"/>
      <c r="G20" s="41" t="str" cm="1">
        <f t="array" ref="G20">IntelHexChecksum(RIGHT(C20,40))</f>
        <v>76</v>
      </c>
      <c r="H20" s="41"/>
      <c r="I20" s="41"/>
      <c r="J20" s="46"/>
      <c r="V20" s="65"/>
      <c r="W20" s="99" t="s">
        <v>6</v>
      </c>
      <c r="X20" s="99" t="s">
        <v>115</v>
      </c>
      <c r="Y20" s="99" t="s">
        <v>114</v>
      </c>
      <c r="Z20" s="99" t="s">
        <v>76</v>
      </c>
      <c r="AA20" s="99" t="s">
        <v>107</v>
      </c>
      <c r="AB20" s="99" t="s">
        <v>290</v>
      </c>
      <c r="AC20" s="99" t="s">
        <v>115</v>
      </c>
      <c r="AD20" s="99" t="s">
        <v>7</v>
      </c>
      <c r="AE20" s="99" t="s">
        <v>7</v>
      </c>
      <c r="AF20" s="99" t="s">
        <v>7</v>
      </c>
      <c r="AG20" s="99" t="s">
        <v>82</v>
      </c>
      <c r="AH20" s="99" t="s">
        <v>98</v>
      </c>
      <c r="AI20" s="99" t="s">
        <v>129</v>
      </c>
      <c r="AJ20" s="99" t="s">
        <v>6</v>
      </c>
      <c r="AK20" s="99" t="s">
        <v>206</v>
      </c>
      <c r="AL20" s="99" t="s">
        <v>76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:1074400000fd003b461f8c3c000a202020202020</v>
      </c>
      <c r="D21" s="41"/>
      <c r="E21" s="41"/>
      <c r="F21" s="41"/>
      <c r="G21" s="41" t="str" cm="1">
        <f t="array" ref="G21">IntelHexChecksum(RIGHT(C21,40))</f>
        <v>0D</v>
      </c>
      <c r="H21" s="41"/>
      <c r="I21" s="41"/>
      <c r="J21" s="46"/>
      <c r="V21" s="65"/>
      <c r="W21" s="65" t="s">
        <v>7</v>
      </c>
      <c r="X21" s="65" t="s">
        <v>114</v>
      </c>
      <c r="Y21" s="65" t="s">
        <v>132</v>
      </c>
      <c r="Z21" s="65" t="s">
        <v>7</v>
      </c>
      <c r="AA21" s="65" t="s">
        <v>289</v>
      </c>
      <c r="AB21" s="65" t="s">
        <v>116</v>
      </c>
      <c r="AC21" s="65" t="s">
        <v>99</v>
      </c>
      <c r="AD21" s="65" t="s">
        <v>6</v>
      </c>
      <c r="AE21" s="65" t="s">
        <v>139</v>
      </c>
      <c r="AF21" s="65" t="s">
        <v>7</v>
      </c>
      <c r="AG21" s="65" t="s">
        <v>86</v>
      </c>
      <c r="AH21" s="98" t="s">
        <v>207</v>
      </c>
      <c r="AI21" s="98" t="s">
        <v>6</v>
      </c>
      <c r="AJ21" s="98" t="s">
        <v>182</v>
      </c>
      <c r="AK21" s="98" t="s">
        <v>120</v>
      </c>
      <c r="AL21" s="98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:107450000130020377f05e058403011213141607</v>
      </c>
      <c r="D22" s="41"/>
      <c r="E22" s="41"/>
      <c r="F22" s="41"/>
      <c r="G22" s="41" t="str" cm="1">
        <f t="array" ref="G22">IntelHexChecksum(RIGHT(C22,40))</f>
        <v>4E</v>
      </c>
      <c r="H22" s="41"/>
      <c r="I22" s="41"/>
      <c r="J22" s="46"/>
      <c r="V22" s="65"/>
      <c r="W22" s="100" t="str">
        <f>C5</f>
        <v>44</v>
      </c>
      <c r="X22" s="100" t="str">
        <f>G5</f>
        <v>53</v>
      </c>
      <c r="Y22" s="100" t="str">
        <f>J5</f>
        <v>48</v>
      </c>
      <c r="Z22" s="100" t="str">
        <f>M5</f>
        <v>72</v>
      </c>
      <c r="AA22" s="100" t="str">
        <f>O5</f>
        <v>72</v>
      </c>
      <c r="AB22" s="100" t="str">
        <f>Q5</f>
        <v>9F</v>
      </c>
      <c r="AC22" s="100" t="str">
        <f>S5</f>
        <v>68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302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:10746000901f20225d5f6061626465665e630206</v>
      </c>
      <c r="D23" s="41"/>
      <c r="E23" s="41"/>
      <c r="F23" s="41"/>
      <c r="G23" s="41" t="str" cm="1">
        <f t="array" ref="G23">IntelHexChecksum(RIGHT(C23,40))</f>
        <v>54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:107470001115213f4032097f071507505104013d</v>
      </c>
      <c r="D24" s="41"/>
      <c r="E24" s="41"/>
      <c r="F24" s="41"/>
      <c r="G24" s="41" t="str" cm="1">
        <f t="array" ref="G24">IntelHexChecksum(RIGHT(C24,40))</f>
        <v>86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:1074800007c05f7e0167040383010000e200ff6e</v>
      </c>
      <c r="D25" s="41"/>
      <c r="E25" s="41"/>
      <c r="F25" s="41"/>
      <c r="G25" s="41" t="str" cm="1">
        <f t="array" ref="G25">IntelHexChecksum(RIGHT(C25,40))</f>
        <v>16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:10749000030c0010007878200080010203046dd8</v>
      </c>
      <c r="D26" s="41"/>
      <c r="E26" s="41"/>
      <c r="F26" s="41"/>
      <c r="G26" s="41" t="str" cm="1">
        <f t="array" ref="G26">IntelHexChecksum(RIGHT(C26,40))</f>
        <v>EE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:1074A0005dc40178800f322878000000e305ff01</v>
      </c>
      <c r="D27" s="41"/>
      <c r="E27" s="41"/>
      <c r="F27" s="41"/>
      <c r="G27" s="41" t="str" cm="1">
        <f t="array" ref="G27">IntelHexChecksum(RIGHT(C27,40))</f>
        <v>F9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:1074B000e50f00801900e606070123003ceb0146</v>
      </c>
      <c r="D28" s="41"/>
      <c r="E28" s="41"/>
      <c r="F28" s="41"/>
      <c r="G28" s="41" t="str" cm="1">
        <f t="array" ref="G28">IntelHexChecksum(RIGHT(C28,40))</f>
        <v>BA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:1074C000d00044534872729F6800000000000000</v>
      </c>
      <c r="D29" s="41"/>
      <c r="E29" s="41"/>
      <c r="F29" s="41"/>
      <c r="G29" s="41" t="str" cm="1">
        <f t="array" ref="G29">IntelHexChecksum(RIGHT(C29,40))</f>
        <v>22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:1074D00000cc00FFFFFFFFFFFF00371801000100</v>
      </c>
      <c r="D30" s="49"/>
      <c r="E30" s="49"/>
      <c r="F30" s="49"/>
      <c r="G30" s="49" t="str" cm="1">
        <f t="array" ref="G30">IntelHexChecksum(RIGHT(C30,40))</f>
        <v>95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F40" sqref="F40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7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191</v>
      </c>
      <c r="X8" s="65" t="s">
        <v>185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257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243</v>
      </c>
      <c r="Z15" s="65" t="s">
        <v>241</v>
      </c>
      <c r="AA15" s="65" t="s">
        <v>197</v>
      </c>
      <c r="AB15" s="65" t="s">
        <v>198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199</v>
      </c>
      <c r="AD16" s="65" t="s">
        <v>72</v>
      </c>
      <c r="AE16" s="65" t="s">
        <v>200</v>
      </c>
      <c r="AF16" s="65" t="s">
        <v>6</v>
      </c>
      <c r="AG16" s="65" t="s">
        <v>76</v>
      </c>
      <c r="AH16" s="65" t="s">
        <v>186</v>
      </c>
      <c r="AI16" s="65" t="s">
        <v>79</v>
      </c>
      <c r="AJ16" s="65" t="s">
        <v>151</v>
      </c>
      <c r="AK16" s="65" t="s">
        <v>201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202</v>
      </c>
      <c r="AB17" s="65" t="s">
        <v>86</v>
      </c>
      <c r="AC17" s="65" t="s">
        <v>122</v>
      </c>
      <c r="AD17" s="65" t="s">
        <v>203</v>
      </c>
      <c r="AE17" s="65" t="s">
        <v>129</v>
      </c>
      <c r="AF17" s="65" t="s">
        <v>189</v>
      </c>
      <c r="AG17" s="65" t="s">
        <v>129</v>
      </c>
      <c r="AH17" s="65" t="s">
        <v>83</v>
      </c>
      <c r="AI17" s="65" t="s">
        <v>195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204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205</v>
      </c>
      <c r="AI18" s="65" t="s">
        <v>206</v>
      </c>
      <c r="AJ18" s="65" t="s">
        <v>186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207</v>
      </c>
      <c r="AD19" s="98" t="s">
        <v>6</v>
      </c>
      <c r="AE19" s="98" t="s">
        <v>182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2:18" x14ac:dyDescent="0.3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2:18" x14ac:dyDescent="0.3"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</row>
    <row r="4" spans="2:18" x14ac:dyDescent="0.3">
      <c r="B4" s="67" t="s">
        <v>163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</row>
    <row r="5" spans="2:18" ht="15" thickBot="1" x14ac:dyDescent="0.35"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</row>
    <row r="6" spans="2:18" ht="15" thickBot="1" x14ac:dyDescent="0.35">
      <c r="C6" s="86">
        <v>0</v>
      </c>
      <c r="D6" s="87">
        <v>1</v>
      </c>
      <c r="E6" s="87">
        <v>2</v>
      </c>
      <c r="F6" s="87">
        <v>3</v>
      </c>
      <c r="G6" s="87">
        <v>4</v>
      </c>
      <c r="H6" s="87">
        <v>5</v>
      </c>
      <c r="I6" s="87">
        <v>6</v>
      </c>
      <c r="J6" s="87">
        <v>7</v>
      </c>
      <c r="K6" s="87">
        <v>8</v>
      </c>
      <c r="L6" s="87">
        <v>9</v>
      </c>
      <c r="M6" s="87">
        <v>10</v>
      </c>
      <c r="N6" s="87">
        <v>11</v>
      </c>
      <c r="O6" s="87">
        <v>12</v>
      </c>
      <c r="P6" s="87">
        <v>13</v>
      </c>
      <c r="Q6" s="87">
        <v>14</v>
      </c>
      <c r="R6" s="88">
        <v>15</v>
      </c>
    </row>
    <row r="7" spans="2:18" ht="15" thickBot="1" x14ac:dyDescent="0.35">
      <c r="B7" s="67" t="s">
        <v>70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</row>
    <row r="8" spans="2:18" s="65" customFormat="1" x14ac:dyDescent="0.3">
      <c r="C8" s="68" t="s">
        <v>7</v>
      </c>
      <c r="D8" s="69" t="s">
        <v>129</v>
      </c>
      <c r="E8" s="69" t="s">
        <v>129</v>
      </c>
      <c r="F8" s="69" t="s">
        <v>129</v>
      </c>
      <c r="G8" s="69" t="s">
        <v>129</v>
      </c>
      <c r="H8" s="69" t="s">
        <v>129</v>
      </c>
      <c r="I8" s="69" t="s">
        <v>129</v>
      </c>
      <c r="J8" s="69" t="s">
        <v>7</v>
      </c>
      <c r="K8" s="69" t="s">
        <v>130</v>
      </c>
      <c r="L8" s="69" t="s">
        <v>131</v>
      </c>
      <c r="M8" s="69" t="s">
        <v>6</v>
      </c>
      <c r="N8" s="69" t="s">
        <v>7</v>
      </c>
      <c r="O8" s="69" t="s">
        <v>6</v>
      </c>
      <c r="P8" s="69" t="s">
        <v>7</v>
      </c>
      <c r="Q8" s="69" t="s">
        <v>7</v>
      </c>
      <c r="R8" s="70" t="s">
        <v>7</v>
      </c>
    </row>
    <row r="9" spans="2:18" s="65" customFormat="1" x14ac:dyDescent="0.3">
      <c r="C9" s="71" t="s">
        <v>97</v>
      </c>
      <c r="D9" s="72" t="s">
        <v>132</v>
      </c>
      <c r="E9" s="72" t="s">
        <v>6</v>
      </c>
      <c r="F9" s="72" t="s">
        <v>91</v>
      </c>
      <c r="G9" s="72" t="s">
        <v>114</v>
      </c>
      <c r="H9" s="72" t="s">
        <v>133</v>
      </c>
      <c r="I9" s="72" t="s">
        <v>134</v>
      </c>
      <c r="J9" s="72" t="s">
        <v>115</v>
      </c>
      <c r="K9" s="72" t="s">
        <v>119</v>
      </c>
      <c r="L9" s="72" t="s">
        <v>135</v>
      </c>
      <c r="M9" s="72" t="s">
        <v>136</v>
      </c>
      <c r="N9" s="72" t="s">
        <v>131</v>
      </c>
      <c r="O9" s="72" t="s">
        <v>110</v>
      </c>
      <c r="P9" s="72" t="s">
        <v>137</v>
      </c>
      <c r="Q9" s="72" t="s">
        <v>138</v>
      </c>
      <c r="R9" s="73" t="s">
        <v>139</v>
      </c>
    </row>
    <row r="10" spans="2:18" s="65" customFormat="1" x14ac:dyDescent="0.3">
      <c r="C10" s="71" t="s">
        <v>140</v>
      </c>
      <c r="D10" s="72" t="s">
        <v>141</v>
      </c>
      <c r="E10" s="72" t="s">
        <v>137</v>
      </c>
      <c r="F10" s="72" t="s">
        <v>127</v>
      </c>
      <c r="G10" s="72" t="s">
        <v>142</v>
      </c>
      <c r="H10" s="72" t="s">
        <v>7</v>
      </c>
      <c r="I10" s="72" t="s">
        <v>143</v>
      </c>
      <c r="J10" s="72" t="s">
        <v>114</v>
      </c>
      <c r="K10" s="72" t="s">
        <v>144</v>
      </c>
      <c r="L10" s="72" t="s">
        <v>106</v>
      </c>
      <c r="M10" s="72" t="s">
        <v>93</v>
      </c>
      <c r="N10" s="72" t="s">
        <v>106</v>
      </c>
      <c r="O10" s="72" t="s">
        <v>145</v>
      </c>
      <c r="P10" s="72" t="s">
        <v>7</v>
      </c>
      <c r="Q10" s="72" t="s">
        <v>6</v>
      </c>
      <c r="R10" s="73" t="s">
        <v>6</v>
      </c>
    </row>
    <row r="11" spans="2:18" s="65" customFormat="1" x14ac:dyDescent="0.3">
      <c r="C11" s="71" t="s">
        <v>6</v>
      </c>
      <c r="D11" s="72" t="s">
        <v>6</v>
      </c>
      <c r="E11" s="72" t="s">
        <v>6</v>
      </c>
      <c r="F11" s="72" t="s">
        <v>6</v>
      </c>
      <c r="G11" s="72" t="s">
        <v>6</v>
      </c>
      <c r="H11" s="72" t="s">
        <v>6</v>
      </c>
      <c r="I11" s="72" t="s">
        <v>142</v>
      </c>
      <c r="J11" s="72" t="s">
        <v>146</v>
      </c>
      <c r="K11" s="72" t="s">
        <v>7</v>
      </c>
      <c r="L11" s="72" t="s">
        <v>147</v>
      </c>
      <c r="M11" s="72" t="s">
        <v>73</v>
      </c>
      <c r="N11" s="72" t="s">
        <v>148</v>
      </c>
      <c r="O11" s="72" t="s">
        <v>149</v>
      </c>
      <c r="P11" s="72" t="s">
        <v>114</v>
      </c>
      <c r="Q11" s="72" t="s">
        <v>138</v>
      </c>
      <c r="R11" s="73" t="s">
        <v>150</v>
      </c>
    </row>
    <row r="12" spans="2:18" s="65" customFormat="1" x14ac:dyDescent="0.3">
      <c r="C12" s="71" t="s">
        <v>121</v>
      </c>
      <c r="D12" s="72" t="s">
        <v>7</v>
      </c>
      <c r="E12" s="72" t="s">
        <v>108</v>
      </c>
      <c r="F12" s="72" t="s">
        <v>151</v>
      </c>
      <c r="G12" s="72" t="s">
        <v>136</v>
      </c>
      <c r="H12" s="72" t="s">
        <v>7</v>
      </c>
      <c r="I12" s="72" t="s">
        <v>7</v>
      </c>
      <c r="J12" s="72" t="s">
        <v>79</v>
      </c>
      <c r="K12" s="72" t="s">
        <v>90</v>
      </c>
      <c r="L12" s="72" t="s">
        <v>152</v>
      </c>
      <c r="M12" s="72" t="s">
        <v>114</v>
      </c>
      <c r="N12" s="72" t="s">
        <v>128</v>
      </c>
      <c r="O12" s="72" t="s">
        <v>153</v>
      </c>
      <c r="P12" s="72" t="s">
        <v>113</v>
      </c>
      <c r="Q12" s="72" t="s">
        <v>123</v>
      </c>
      <c r="R12" s="73" t="s">
        <v>106</v>
      </c>
    </row>
    <row r="13" spans="2:18" s="65" customFormat="1" x14ac:dyDescent="0.3">
      <c r="C13" s="71" t="s">
        <v>150</v>
      </c>
      <c r="D13" s="72" t="s">
        <v>154</v>
      </c>
      <c r="E13" s="72" t="s">
        <v>144</v>
      </c>
      <c r="F13" s="72" t="s">
        <v>7</v>
      </c>
      <c r="G13" s="72" t="s">
        <v>108</v>
      </c>
      <c r="H13" s="72" t="s">
        <v>151</v>
      </c>
      <c r="I13" s="72" t="s">
        <v>136</v>
      </c>
      <c r="J13" s="72" t="s">
        <v>7</v>
      </c>
      <c r="K13" s="72" t="s">
        <v>7</v>
      </c>
      <c r="L13" s="72" t="s">
        <v>79</v>
      </c>
      <c r="M13" s="72" t="s">
        <v>7</v>
      </c>
      <c r="N13" s="72" t="s">
        <v>7</v>
      </c>
      <c r="O13" s="72" t="s">
        <v>7</v>
      </c>
      <c r="P13" s="72" t="s">
        <v>155</v>
      </c>
      <c r="Q13" s="72" t="s">
        <v>7</v>
      </c>
      <c r="R13" s="73" t="s">
        <v>156</v>
      </c>
    </row>
    <row r="14" spans="2:18" s="65" customFormat="1" x14ac:dyDescent="0.3">
      <c r="C14" s="71" t="s">
        <v>144</v>
      </c>
      <c r="D14" s="72" t="s">
        <v>157</v>
      </c>
      <c r="E14" s="72" t="s">
        <v>123</v>
      </c>
      <c r="F14" s="72" t="s">
        <v>158</v>
      </c>
      <c r="G14" s="72" t="s">
        <v>123</v>
      </c>
      <c r="H14" s="72" t="s">
        <v>159</v>
      </c>
      <c r="I14" s="72" t="s">
        <v>123</v>
      </c>
      <c r="J14" s="72" t="s">
        <v>141</v>
      </c>
      <c r="K14" s="72" t="s">
        <v>119</v>
      </c>
      <c r="L14" s="72" t="s">
        <v>104</v>
      </c>
      <c r="M14" s="72" t="s">
        <v>104</v>
      </c>
      <c r="N14" s="72" t="s">
        <v>104</v>
      </c>
      <c r="O14" s="72" t="s">
        <v>7</v>
      </c>
      <c r="P14" s="72" t="s">
        <v>7</v>
      </c>
      <c r="Q14" s="72" t="s">
        <v>7</v>
      </c>
      <c r="R14" s="73" t="s">
        <v>160</v>
      </c>
    </row>
    <row r="15" spans="2:18" s="65" customFormat="1" ht="15" thickBot="1" x14ac:dyDescent="0.35">
      <c r="C15" s="74" t="s">
        <v>7</v>
      </c>
      <c r="D15" s="75" t="s">
        <v>128</v>
      </c>
      <c r="E15" s="75" t="s">
        <v>161</v>
      </c>
      <c r="F15" s="75" t="s">
        <v>76</v>
      </c>
      <c r="G15" s="75" t="s">
        <v>162</v>
      </c>
      <c r="H15" s="75" t="s">
        <v>86</v>
      </c>
      <c r="I15" s="75" t="s">
        <v>7</v>
      </c>
      <c r="J15" s="75" t="s">
        <v>119</v>
      </c>
      <c r="K15" s="75" t="s">
        <v>104</v>
      </c>
      <c r="L15" s="75" t="s">
        <v>104</v>
      </c>
      <c r="M15" s="75" t="s">
        <v>104</v>
      </c>
      <c r="N15" s="75" t="s">
        <v>104</v>
      </c>
      <c r="O15" s="75" t="s">
        <v>104</v>
      </c>
      <c r="P15" s="75" t="s">
        <v>104</v>
      </c>
      <c r="Q15" s="75" t="s">
        <v>6</v>
      </c>
      <c r="R15" s="76" t="s">
        <v>141</v>
      </c>
    </row>
    <row r="16" spans="2:18" s="65" customFormat="1" x14ac:dyDescent="0.3"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</row>
    <row r="17" spans="2:18" s="65" customFormat="1" x14ac:dyDescent="0.3"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</row>
    <row r="18" spans="2:18" ht="15" thickBot="1" x14ac:dyDescent="0.35">
      <c r="B18" s="67" t="s">
        <v>71</v>
      </c>
    </row>
    <row r="19" spans="2:18" s="65" customFormat="1" x14ac:dyDescent="0.3">
      <c r="C19" s="78" t="s">
        <v>90</v>
      </c>
      <c r="D19" s="79" t="s">
        <v>91</v>
      </c>
      <c r="E19" s="79" t="s">
        <v>72</v>
      </c>
      <c r="F19" s="79" t="s">
        <v>73</v>
      </c>
      <c r="G19" s="79" t="s">
        <v>92</v>
      </c>
      <c r="H19" s="79" t="s">
        <v>93</v>
      </c>
      <c r="I19" s="79" t="s">
        <v>94</v>
      </c>
      <c r="J19" s="79" t="s">
        <v>95</v>
      </c>
      <c r="K19" s="79" t="s">
        <v>96</v>
      </c>
      <c r="L19" s="79" t="s">
        <v>6</v>
      </c>
      <c r="M19" s="79" t="s">
        <v>91</v>
      </c>
      <c r="N19" s="79" t="s">
        <v>97</v>
      </c>
      <c r="O19" s="79" t="s">
        <v>98</v>
      </c>
      <c r="P19" s="79" t="s">
        <v>99</v>
      </c>
      <c r="Q19" s="79" t="s">
        <v>29</v>
      </c>
      <c r="R19" s="80" t="s">
        <v>100</v>
      </c>
    </row>
    <row r="20" spans="2:18" s="65" customFormat="1" x14ac:dyDescent="0.3">
      <c r="C20" s="81" t="s">
        <v>101</v>
      </c>
      <c r="D20" s="82" t="s">
        <v>102</v>
      </c>
      <c r="E20" s="82" t="s">
        <v>103</v>
      </c>
      <c r="F20" s="82" t="s">
        <v>74</v>
      </c>
      <c r="G20" s="82" t="s">
        <v>104</v>
      </c>
      <c r="H20" s="82" t="s">
        <v>105</v>
      </c>
      <c r="I20" s="82" t="s">
        <v>75</v>
      </c>
      <c r="J20" s="82" t="s">
        <v>106</v>
      </c>
      <c r="K20" s="82" t="s">
        <v>107</v>
      </c>
      <c r="L20" s="82" t="s">
        <v>76</v>
      </c>
      <c r="M20" s="82" t="s">
        <v>77</v>
      </c>
      <c r="N20" s="82" t="s">
        <v>99</v>
      </c>
      <c r="O20" s="82" t="s">
        <v>78</v>
      </c>
      <c r="P20" s="82" t="s">
        <v>79</v>
      </c>
      <c r="Q20" s="82" t="s">
        <v>108</v>
      </c>
      <c r="R20" s="83" t="s">
        <v>109</v>
      </c>
    </row>
    <row r="21" spans="2:18" s="65" customFormat="1" x14ac:dyDescent="0.3">
      <c r="C21" s="81" t="s">
        <v>99</v>
      </c>
      <c r="D21" s="82" t="s">
        <v>108</v>
      </c>
      <c r="E21" s="82" t="s">
        <v>80</v>
      </c>
      <c r="F21" s="82" t="s">
        <v>81</v>
      </c>
      <c r="G21" s="82" t="s">
        <v>6</v>
      </c>
      <c r="H21" s="82" t="s">
        <v>110</v>
      </c>
      <c r="I21" s="82" t="s">
        <v>99</v>
      </c>
      <c r="J21" s="82" t="s">
        <v>6</v>
      </c>
      <c r="K21" s="82" t="s">
        <v>111</v>
      </c>
      <c r="L21" s="82" t="s">
        <v>81</v>
      </c>
      <c r="M21" s="82" t="s">
        <v>91</v>
      </c>
      <c r="N21" s="82" t="s">
        <v>112</v>
      </c>
      <c r="O21" s="82" t="s">
        <v>80</v>
      </c>
      <c r="P21" s="82" t="s">
        <v>7</v>
      </c>
      <c r="Q21" s="82" t="s">
        <v>7</v>
      </c>
      <c r="R21" s="83" t="s">
        <v>82</v>
      </c>
    </row>
    <row r="22" spans="2:18" s="65" customFormat="1" x14ac:dyDescent="0.3">
      <c r="C22" s="81" t="s">
        <v>98</v>
      </c>
      <c r="D22" s="82" t="s">
        <v>83</v>
      </c>
      <c r="E22" s="82" t="s">
        <v>7</v>
      </c>
      <c r="F22" s="82" t="s">
        <v>84</v>
      </c>
      <c r="G22" s="82" t="s">
        <v>91</v>
      </c>
      <c r="H22" s="82" t="s">
        <v>85</v>
      </c>
      <c r="I22" s="82" t="s">
        <v>7</v>
      </c>
      <c r="J22" s="82" t="s">
        <v>30</v>
      </c>
      <c r="K22" s="82" t="s">
        <v>7</v>
      </c>
      <c r="L22" s="82" t="s">
        <v>113</v>
      </c>
      <c r="M22" s="82" t="s">
        <v>86</v>
      </c>
      <c r="N22" s="82" t="s">
        <v>104</v>
      </c>
      <c r="O22" s="82" t="s">
        <v>114</v>
      </c>
      <c r="P22" s="82" t="s">
        <v>114</v>
      </c>
      <c r="Q22" s="82" t="s">
        <v>6</v>
      </c>
      <c r="R22" s="83" t="s">
        <v>90</v>
      </c>
    </row>
    <row r="23" spans="2:18" s="65" customFormat="1" x14ac:dyDescent="0.3">
      <c r="C23" s="81" t="s">
        <v>91</v>
      </c>
      <c r="D23" s="82" t="s">
        <v>97</v>
      </c>
      <c r="E23" s="82" t="s">
        <v>87</v>
      </c>
      <c r="F23" s="82" t="s">
        <v>76</v>
      </c>
      <c r="G23" s="82" t="s">
        <v>76</v>
      </c>
      <c r="H23" s="82" t="s">
        <v>111</v>
      </c>
      <c r="I23" s="82" t="s">
        <v>88</v>
      </c>
      <c r="J23" s="82" t="s">
        <v>72</v>
      </c>
      <c r="K23" s="82" t="s">
        <v>89</v>
      </c>
      <c r="L23" s="82" t="s">
        <v>6</v>
      </c>
      <c r="M23" s="82" t="s">
        <v>115</v>
      </c>
      <c r="N23" s="82" t="s">
        <v>114</v>
      </c>
      <c r="O23" s="82" t="s">
        <v>91</v>
      </c>
      <c r="P23" s="82" t="s">
        <v>82</v>
      </c>
      <c r="Q23" s="82" t="s">
        <v>116</v>
      </c>
      <c r="R23" s="83" t="s">
        <v>98</v>
      </c>
    </row>
    <row r="24" spans="2:18" s="65" customFormat="1" x14ac:dyDescent="0.3">
      <c r="C24" s="81" t="s">
        <v>6</v>
      </c>
      <c r="D24" s="89" t="s">
        <v>117</v>
      </c>
      <c r="E24" s="89" t="s">
        <v>117</v>
      </c>
      <c r="F24" s="89" t="s">
        <v>117</v>
      </c>
      <c r="G24" s="89" t="s">
        <v>117</v>
      </c>
      <c r="H24" s="89" t="s">
        <v>117</v>
      </c>
      <c r="I24" s="89" t="s">
        <v>117</v>
      </c>
      <c r="J24" s="89" t="s">
        <v>117</v>
      </c>
      <c r="K24" s="89" t="s">
        <v>117</v>
      </c>
      <c r="L24" s="89" t="s">
        <v>117</v>
      </c>
      <c r="M24" s="89" t="s">
        <v>117</v>
      </c>
      <c r="N24" s="89" t="s">
        <v>117</v>
      </c>
      <c r="O24" s="89" t="s">
        <v>117</v>
      </c>
      <c r="P24" s="82" t="s">
        <v>118</v>
      </c>
      <c r="Q24" s="82" t="s">
        <v>119</v>
      </c>
      <c r="R24" s="83" t="s">
        <v>120</v>
      </c>
    </row>
    <row r="25" spans="2:18" s="65" customFormat="1" x14ac:dyDescent="0.3">
      <c r="C25" s="81" t="s">
        <v>121</v>
      </c>
      <c r="D25" s="82" t="s">
        <v>104</v>
      </c>
      <c r="E25" s="82" t="s">
        <v>122</v>
      </c>
      <c r="F25" s="82" t="s">
        <v>123</v>
      </c>
      <c r="G25" s="82" t="s">
        <v>29</v>
      </c>
      <c r="H25" s="82" t="s">
        <v>29</v>
      </c>
      <c r="I25" s="82" t="s">
        <v>124</v>
      </c>
      <c r="J25" s="82" t="s">
        <v>126</v>
      </c>
      <c r="K25" s="82" t="s">
        <v>7</v>
      </c>
      <c r="L25" s="82" t="s">
        <v>89</v>
      </c>
      <c r="M25" s="82" t="s">
        <v>125</v>
      </c>
      <c r="N25" s="82" t="s">
        <v>127</v>
      </c>
      <c r="O25" s="82" t="s">
        <v>7</v>
      </c>
      <c r="P25" s="82" t="s">
        <v>7</v>
      </c>
      <c r="Q25" s="82" t="s">
        <v>128</v>
      </c>
      <c r="R25" s="83" t="s">
        <v>7</v>
      </c>
    </row>
    <row r="26" spans="2:18" s="65" customFormat="1" ht="15" thickBot="1" x14ac:dyDescent="0.35">
      <c r="C26" s="84" t="s">
        <v>7</v>
      </c>
      <c r="D26" s="85" t="s">
        <v>7</v>
      </c>
      <c r="E26" s="85" t="s">
        <v>7</v>
      </c>
      <c r="F26" s="85" t="s">
        <v>7</v>
      </c>
      <c r="G26" s="85" t="s">
        <v>7</v>
      </c>
      <c r="H26" s="85" t="s">
        <v>7</v>
      </c>
      <c r="I26" s="85" t="s">
        <v>7</v>
      </c>
      <c r="J26" s="85" t="s">
        <v>7</v>
      </c>
      <c r="K26" s="85" t="s">
        <v>7</v>
      </c>
      <c r="L26" s="85" t="s">
        <v>7</v>
      </c>
      <c r="M26" s="85" t="s">
        <v>7</v>
      </c>
      <c r="N26" s="85" t="s">
        <v>7</v>
      </c>
      <c r="O26" s="85" t="s">
        <v>7</v>
      </c>
      <c r="P26" s="85" t="s">
        <v>7</v>
      </c>
      <c r="Q26" s="85" t="s">
        <v>7</v>
      </c>
      <c r="R26" s="90" t="s">
        <v>94</v>
      </c>
    </row>
    <row r="27" spans="2:18" s="65" customFormat="1" x14ac:dyDescent="0.3"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</row>
    <row r="28" spans="2:18" s="65" customFormat="1" x14ac:dyDescent="0.3"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</row>
    <row r="29" spans="2:18" s="65" customFormat="1" x14ac:dyDescent="0.3"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</row>
    <row r="30" spans="2:18" s="65" customFormat="1" x14ac:dyDescent="0.3"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</row>
    <row r="31" spans="2:18" s="65" customFormat="1" x14ac:dyDescent="0.3"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</row>
    <row r="32" spans="2:18" s="65" customFormat="1" x14ac:dyDescent="0.3"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</row>
    <row r="33" spans="3:18" s="65" customFormat="1" x14ac:dyDescent="0.3"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Patcher</vt:lpstr>
      <vt:lpstr>Custom DV</vt:lpstr>
      <vt:lpstr>Custom EDID-LS10500</vt:lpstr>
      <vt:lpstr>Custom EDID-VAVA</vt:lpstr>
      <vt:lpstr>Custom EDID-LS12000</vt:lpstr>
      <vt:lpstr>Custom EDID-JVC-RS400</vt:lpstr>
      <vt:lpstr>Custom EDID-Formovie T1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2022-10-24T13:50:50Z</dcterms:modified>
</cp:coreProperties>
</file>