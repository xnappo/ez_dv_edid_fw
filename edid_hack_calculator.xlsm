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35678C9B-43F8-49DD-977C-36A9BF010728}" xr6:coauthVersionLast="47" xr6:coauthVersionMax="47" xr10:uidLastSave="{00000000-0000-0000-0000-000000000000}"/>
  <bookViews>
    <workbookView xWindow="12303" yWindow="3468" windowWidth="26013" windowHeight="14538" activeTab="1" xr2:uid="{DE808AFE-8AFE-4111-8161-9EF8B03B2A2C}"/>
  </bookViews>
  <sheets>
    <sheet name="Patcher" sheetId="1" r:id="rId1"/>
    <sheet name="Custom FW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" l="1"/>
  <c r="P8" i="2"/>
  <c r="T7" i="2"/>
  <c r="T8" i="2" s="1"/>
  <c r="R7" i="2"/>
  <c r="R8" i="2" s="1"/>
  <c r="S7" i="2"/>
  <c r="S8" i="2" s="1"/>
  <c r="Q7" i="2"/>
  <c r="Q8" i="2" s="1"/>
  <c r="O7" i="2"/>
  <c r="O8" i="2" s="1"/>
  <c r="M7" i="2"/>
  <c r="M8" i="2" s="1"/>
  <c r="L8" i="2"/>
  <c r="I8" i="2"/>
  <c r="AP29" i="2" a="1"/>
  <c r="AP30" i="2" a="1"/>
  <c r="AP28" i="2" a="1"/>
  <c r="AP10" i="2" a="1"/>
  <c r="AP18" i="2" a="1"/>
  <c r="AP7" i="2" a="1"/>
  <c r="AP15" i="2" a="1"/>
  <c r="AP23" i="2" a="1"/>
  <c r="AP34" i="2" a="1"/>
  <c r="AP22" i="2" a="1"/>
  <c r="AP19" i="2" a="1"/>
  <c r="AP31" i="2" a="1"/>
  <c r="AP32" i="2" a="1"/>
  <c r="AP36" i="2" a="1"/>
  <c r="AP12" i="2" a="1"/>
  <c r="AP20" i="2" a="1"/>
  <c r="AP9" i="2" a="1"/>
  <c r="AP17" i="2" a="1"/>
  <c r="AP5" i="2" a="1"/>
  <c r="AP33" i="2" a="1"/>
  <c r="AP14" i="2" a="1"/>
  <c r="C4" i="1" a="1"/>
  <c r="AP27" i="2" a="1"/>
  <c r="AP26" i="2" a="1"/>
  <c r="AP35" i="2" a="1"/>
  <c r="AP8" i="2" a="1"/>
  <c r="AP16" i="2" a="1"/>
  <c r="AP24" i="2" a="1"/>
  <c r="AP13" i="2" a="1"/>
  <c r="AP21" i="2" a="1"/>
  <c r="AP25" i="2" a="1"/>
  <c r="AP6" i="2" a="1"/>
  <c r="AP11" i="2" a="1"/>
  <c r="Q5" i="2" l="1"/>
  <c r="O5" i="2"/>
  <c r="S5" i="2"/>
  <c r="AP36" i="2"/>
  <c r="AN36" i="2" s="1"/>
  <c r="AP28" i="2"/>
  <c r="AN28" i="2" s="1"/>
  <c r="AP35" i="2"/>
  <c r="AN35" i="2" s="1"/>
  <c r="AP34" i="2"/>
  <c r="AN34" i="2" s="1"/>
  <c r="AP32" i="2"/>
  <c r="AN32" i="2" s="1"/>
  <c r="AP30" i="2"/>
  <c r="AN30" i="2" s="1"/>
  <c r="AP26" i="2"/>
  <c r="AN26" i="2" s="1"/>
  <c r="AP33" i="2"/>
  <c r="AN33" i="2" s="1"/>
  <c r="AP31" i="2"/>
  <c r="AN31" i="2" s="1"/>
  <c r="AP29" i="2"/>
  <c r="AN29" i="2" s="1"/>
  <c r="AP27" i="2"/>
  <c r="AN27" i="2" s="1"/>
  <c r="AP25" i="2"/>
  <c r="AN25" i="2" s="1"/>
  <c r="AP23" i="2"/>
  <c r="AN23" i="2" s="1"/>
  <c r="AP21" i="2"/>
  <c r="AN21" i="2" s="1"/>
  <c r="AP19" i="2"/>
  <c r="AN19" i="2" s="1"/>
  <c r="AP17" i="2"/>
  <c r="AN17" i="2" s="1"/>
  <c r="AP15" i="2"/>
  <c r="AN15" i="2" s="1"/>
  <c r="AP13" i="2"/>
  <c r="AN13" i="2" s="1"/>
  <c r="AP11" i="2"/>
  <c r="AN11" i="2" s="1"/>
  <c r="AP9" i="2"/>
  <c r="AN9" i="2" s="1"/>
  <c r="AP7" i="2"/>
  <c r="AN7" i="2" s="1"/>
  <c r="AP24" i="2"/>
  <c r="AN24" i="2" s="1"/>
  <c r="AP22" i="2"/>
  <c r="AN22" i="2" s="1"/>
  <c r="AP20" i="2"/>
  <c r="AN20" i="2" s="1"/>
  <c r="AP18" i="2"/>
  <c r="AN18" i="2" s="1"/>
  <c r="AP16" i="2"/>
  <c r="AN16" i="2" s="1"/>
  <c r="AP14" i="2"/>
  <c r="AN14" i="2" s="1"/>
  <c r="AP12" i="2"/>
  <c r="AN12" i="2" s="1"/>
  <c r="AP10" i="2"/>
  <c r="AN10" i="2" s="1"/>
  <c r="AP8" i="2"/>
  <c r="AN8" i="2" s="1"/>
  <c r="AP6" i="2"/>
  <c r="AN6" i="2" s="1"/>
  <c r="AP5" i="2"/>
  <c r="AN5" i="2" s="1"/>
  <c r="C4" i="1"/>
  <c r="M5" i="2"/>
  <c r="H8" i="2"/>
  <c r="G5" i="2" s="1"/>
  <c r="F8" i="2"/>
  <c r="E8" i="2"/>
  <c r="C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X6" i="1" a="1"/>
  <c r="Q6" i="1" a="1"/>
  <c r="V4" i="1" a="1"/>
  <c r="Z9" i="1"/>
  <c r="H8" i="1"/>
  <c r="Z6" i="1" a="1"/>
  <c r="S6" i="1" a="1"/>
  <c r="N9" i="1"/>
  <c r="I7" i="1"/>
  <c r="F8" i="1"/>
  <c r="E9" i="1"/>
  <c r="T6" i="1" a="1"/>
  <c r="M6" i="1" a="1"/>
  <c r="V8" i="1"/>
  <c r="J9" i="1"/>
  <c r="H7" i="1"/>
  <c r="N6" i="1" a="1"/>
  <c r="E6" i="1" a="1"/>
  <c r="AG4" i="1" a="1"/>
  <c r="J4" i="1" a="1"/>
  <c r="G4" i="1" a="1"/>
  <c r="G7" i="1"/>
  <c r="AC7" i="1"/>
  <c r="C9" i="1"/>
  <c r="AH6" i="1" a="1"/>
  <c r="AG8" i="1"/>
  <c r="G9" i="1"/>
  <c r="C7" i="1"/>
  <c r="V6" i="1" a="1"/>
  <c r="N4" i="1" a="1"/>
  <c r="AF6" i="1" a="1"/>
  <c r="AE6" i="1" a="1"/>
  <c r="N7" i="1"/>
  <c r="H6" i="1" a="1"/>
  <c r="AG6" i="1" a="1"/>
  <c r="AG7" i="1"/>
  <c r="N8" i="1"/>
  <c r="F4" i="1" a="1"/>
  <c r="J6" i="1" a="1"/>
  <c r="G6" i="1" a="1"/>
  <c r="AF8" i="1"/>
  <c r="R8" i="1"/>
  <c r="H4" i="1" a="1"/>
  <c r="D9" i="1"/>
  <c r="D6" i="1" a="1"/>
  <c r="U6" i="1" a="1"/>
  <c r="AG9" i="1"/>
  <c r="V7" i="1"/>
  <c r="U7" i="1"/>
  <c r="H9" i="1"/>
  <c r="AD6" i="1" a="1"/>
  <c r="AA6" i="1" a="1"/>
  <c r="J7" i="1"/>
  <c r="M7" i="1"/>
  <c r="D8" i="1"/>
  <c r="E8" i="1"/>
  <c r="E4" i="1" a="1"/>
  <c r="Z7" i="1"/>
  <c r="F7" i="1"/>
  <c r="Q7" i="1"/>
  <c r="AB6" i="1" a="1"/>
  <c r="V9" i="1"/>
  <c r="E7" i="1"/>
  <c r="G8" i="1"/>
  <c r="P6" i="1" a="1"/>
  <c r="I6" i="1" a="1"/>
  <c r="AE7" i="1"/>
  <c r="R4" i="1" a="1"/>
  <c r="F9" i="1"/>
  <c r="R6" i="1" a="1"/>
  <c r="K6" i="1" a="1"/>
  <c r="J8" i="1"/>
  <c r="Z4" i="1" a="1"/>
  <c r="D7" i="1"/>
  <c r="C8" i="1"/>
  <c r="L6" i="1" a="1"/>
  <c r="Y6" i="1" a="1"/>
  <c r="AF4" i="1" a="1"/>
  <c r="Z8" i="1"/>
  <c r="F6" i="1" a="1"/>
  <c r="AC6" i="1" a="1"/>
  <c r="AF9" i="1"/>
  <c r="D4" i="1" a="1"/>
  <c r="R7" i="1"/>
  <c r="W6" i="1" a="1"/>
  <c r="Y7" i="1"/>
  <c r="O6" i="1" a="1"/>
  <c r="R9" i="1"/>
  <c r="C6" i="1" a="1"/>
  <c r="J8" i="2" l="1"/>
  <c r="J5" i="2" s="1"/>
  <c r="C12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C14" i="2"/>
  <c r="H11" i="1"/>
  <c r="P11" i="1"/>
  <c r="F11" i="1"/>
  <c r="S10" i="1"/>
  <c r="AF7" i="1"/>
  <c r="S9" i="1"/>
  <c r="AB9" i="1"/>
  <c r="W7" i="1"/>
  <c r="Y8" i="1"/>
  <c r="AA4" i="1" a="1"/>
  <c r="AB11" i="1"/>
  <c r="W8" i="1"/>
  <c r="L4" i="1" a="1"/>
  <c r="AE11" i="1"/>
  <c r="V10" i="1"/>
  <c r="T11" i="1"/>
  <c r="AD8" i="1"/>
  <c r="T8" i="1"/>
  <c r="O7" i="1"/>
  <c r="AB4" i="1" a="1"/>
  <c r="N10" i="1"/>
  <c r="AD9" i="1"/>
  <c r="X11" i="1"/>
  <c r="AE8" i="1"/>
  <c r="AA11" i="1"/>
  <c r="Q11" i="1"/>
  <c r="AE10" i="1"/>
  <c r="AA10" i="1"/>
  <c r="AH9" i="1"/>
  <c r="AA9" i="1"/>
  <c r="P4" i="1" a="1"/>
  <c r="Q9" i="1"/>
  <c r="U8" i="1"/>
  <c r="L7" i="1"/>
  <c r="I11" i="1"/>
  <c r="F10" i="1"/>
  <c r="AE9" i="1"/>
  <c r="K9" i="1"/>
  <c r="T7" i="1"/>
  <c r="S8" i="1"/>
  <c r="Q4" i="1" a="1"/>
  <c r="X7" i="1"/>
  <c r="AD4" i="1" a="1"/>
  <c r="AC9" i="1"/>
  <c r="G11" i="1"/>
  <c r="H10" i="1"/>
  <c r="K10" i="1"/>
  <c r="AH4" i="1" a="1"/>
  <c r="X8" i="1"/>
  <c r="W4" i="1" a="1"/>
  <c r="O10" i="1"/>
  <c r="C16" i="2"/>
  <c r="X10" i="1"/>
  <c r="V11" i="1"/>
  <c r="AH8" i="1"/>
  <c r="P9" i="1"/>
  <c r="U4" i="1" a="1"/>
  <c r="AE4" i="1" a="1"/>
  <c r="E10" i="1"/>
  <c r="U11" i="1"/>
  <c r="T9" i="1"/>
  <c r="P7" i="1"/>
  <c r="D11" i="1"/>
  <c r="Z10" i="1"/>
  <c r="AA8" i="1"/>
  <c r="AD10" i="1"/>
  <c r="L9" i="1"/>
  <c r="O8" i="1"/>
  <c r="T4" i="1" a="1"/>
  <c r="K8" i="1"/>
  <c r="N11" i="1"/>
  <c r="L8" i="1"/>
  <c r="AG10" i="1"/>
  <c r="I10" i="1"/>
  <c r="AC10" i="1"/>
  <c r="AB7" i="1"/>
  <c r="AC4" i="1" a="1"/>
  <c r="K7" i="1"/>
  <c r="S4" i="1" a="1"/>
  <c r="AD11" i="1"/>
  <c r="I4" i="1" a="1"/>
  <c r="AA7" i="1"/>
  <c r="AF10" i="1"/>
  <c r="AH7" i="1"/>
  <c r="O9" i="1"/>
  <c r="O4" i="1" a="1"/>
  <c r="Y4" i="1" a="1"/>
  <c r="X4" i="1" a="1"/>
  <c r="W9" i="1"/>
  <c r="I8" i="1"/>
  <c r="Q10" i="1"/>
  <c r="O11" i="1"/>
  <c r="Z11" i="1"/>
  <c r="AD7" i="1"/>
  <c r="Y9" i="1"/>
  <c r="M8" i="1"/>
  <c r="AC11" i="1"/>
  <c r="C15" i="2"/>
  <c r="AF11" i="1"/>
  <c r="T10" i="1"/>
  <c r="AB8" i="1"/>
  <c r="U9" i="1"/>
  <c r="I9" i="1"/>
  <c r="W10" i="1"/>
  <c r="K4" i="1" a="1"/>
  <c r="P10" i="1"/>
  <c r="R10" i="1"/>
  <c r="M4" i="1" a="1"/>
  <c r="X9" i="1"/>
  <c r="E11" i="1"/>
  <c r="P8" i="1"/>
  <c r="AG11" i="1"/>
  <c r="AB10" i="1"/>
  <c r="J11" i="1"/>
  <c r="M9" i="1"/>
  <c r="C13" i="2" a="1"/>
  <c r="S7" i="1"/>
  <c r="AC8" i="1"/>
  <c r="L10" i="1"/>
  <c r="Q8" i="1"/>
  <c r="S11" i="1"/>
  <c r="K11" i="1"/>
  <c r="G10" i="1"/>
  <c r="R11" i="1"/>
  <c r="W11" i="1"/>
  <c r="Y11" i="1"/>
  <c r="U10" i="1"/>
  <c r="D10" i="1"/>
  <c r="AH11" i="1"/>
  <c r="M10" i="1"/>
  <c r="L11" i="1"/>
  <c r="J10" i="1"/>
  <c r="C10" i="1"/>
  <c r="C13" i="2" l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Y10" i="1"/>
  <c r="C17" i="2"/>
  <c r="C11" i="1"/>
  <c r="C18" i="2"/>
  <c r="M11" i="1"/>
  <c r="AH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<sst xmlns="http://schemas.openxmlformats.org/spreadsheetml/2006/main" count="91" uniqueCount="75">
  <si>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</si>
  <si>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</si>
  <si>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</si>
  <si>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</si>
  <si>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</si>
  <si>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</si>
  <si>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</si>
  <si>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</si>
  <si>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</si>
  <si>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</si>
  <si>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</si>
  <si>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</si>
  <si>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</si>
  <si>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</si>
  <si>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</si>
  <si>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</si>
  <si>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</si>
  <si>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</si>
  <si>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</si>
  <si>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</si>
  <si>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</si>
  <si>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</si>
  <si>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</si>
  <si>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</si>
  <si>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</si>
  <si>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</si>
  <si>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</si>
  <si>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</si>
  <si>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</si>
  <si>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</si>
  <si>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</si>
  <si>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</si>
  <si>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</si>
  <si>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</si>
  <si>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</si>
  <si>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</si>
  <si>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</si>
  <si>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</si>
  <si>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</si>
  <si>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</si>
  <si>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</si>
  <si>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</si>
  <si>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</si>
  <si>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</si>
  <si>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</si>
  <si>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</si>
  <si>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</si>
  <si>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</si>
  <si>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</si>
  <si>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</si>
  <si>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</si>
  <si>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</si>
  <si>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</si>
  <si>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</si>
  <si>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</si>
  <si>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</si>
  <si>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</si>
  <si>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</si>
  <si>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</si>
  <si>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</si>
  <si>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</si>
  <si>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</si>
  <si>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</si>
  <si>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</si>
  <si>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</si>
  <si>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</si>
  <si>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</si>
  <si>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</si>
  <si>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</si>
  <si>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</si>
  <si>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</si>
  <si>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</si>
  <si>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c:\exes\ez_dv_edid_fw\custom.hex</t>
  </si>
  <si>
    <t>EB0146D000</t>
  </si>
  <si>
    <t>Standard
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</si>
</sst>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3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0" xfId="0" applyFont="1" applyFill="1" applyBorder="1"/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1" fillId="2" borderId="27" xfId="0" quotePrefix="1" applyFont="1" applyFill="1" applyBorder="1"/>
    <xf numFmtId="0" fontId="1" fillId="2" borderId="28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13</xdr:row>
          <xdr:rowOff>7315</xdr:rowOff>
        </xdr:from>
        <xdr:to>
          <xdr:col>3</xdr:col>
          <xdr:colOff>2991917</xdr:colOff>
          <xdr:row>16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C30" sqref="C30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13</xdr:row>
                    <xdr:rowOff>7315</xdr:rowOff>
                  </from>
                  <to>
                    <xdr:col>3</xdr:col>
                    <xdr:colOff>2991917</xdr:colOff>
                    <xdr:row>16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B2:BB36"/>
  <sheetViews>
    <sheetView tabSelected="1" zoomScale="90" zoomScaleNormal="90" workbookViewId="0">
      <selection activeCell="F26" sqref="F26"/>
    </sheetView>
  </sheetViews>
  <sheetFormatPr defaultRowHeight="14.4" x14ac:dyDescent="0.3"/>
  <cols>
    <col min="2" max="2" width="10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3" width="7.5" customWidth="1"/>
    <col min="24" max="25" width="7.19921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37</v>
      </c>
      <c r="I3" s="39" t="s">
        <v>50</v>
      </c>
    </row>
    <row r="4" spans="2:54" ht="15" thickBot="1" x14ac:dyDescent="0.35">
      <c r="AO4" t="s">
        <v>29</v>
      </c>
      <c r="AP4" t="s">
        <v>30</v>
      </c>
      <c r="AR4" t="s">
        <v>13</v>
      </c>
      <c r="AS4" t="s">
        <v>38</v>
      </c>
      <c r="AU4" t="s">
        <v>39</v>
      </c>
      <c r="AV4" t="s">
        <v>40</v>
      </c>
    </row>
    <row r="5" spans="2:54" ht="15" thickBot="1" x14ac:dyDescent="0.35">
      <c r="B5" s="71" t="s">
        <v>73</v>
      </c>
      <c r="C5" s="42" t="str">
        <f>DEC2HEX(_xlfn.BITLSHIFT(BIN2DEC(C8),5)+_xlfn.BITLSHIFT(BIN2DEC(D8),2)+_xlfn.BITLSHIFT(BIN2DEC(E8),1)+BIN2DEC(F8))</f>
        <v>45</v>
      </c>
      <c r="D5" s="42"/>
      <c r="E5" s="42"/>
      <c r="F5" s="43"/>
      <c r="G5" s="44" t="str">
        <f>DEC2HEX(_xlfn.BITLSHIFT(BIN2DEC(G8),3)+_xlfn.BITLSHIFT(BIN2DEC(H8),2)+BIN2DEC(I8),2)</f>
        <v>07</v>
      </c>
      <c r="H5" s="40"/>
      <c r="I5" s="41"/>
      <c r="J5" s="44" t="str">
        <f>DEC2HEX(_xlfn.BITLSHIFT(BIN2DEC(J8),3)+_xlfn.BITLSHIFT(BIN2DEC(K8),1)+BIN2DEC(L8),2)</f>
        <v>01</v>
      </c>
      <c r="K5" s="40"/>
      <c r="L5" s="41"/>
      <c r="M5" s="40" t="str">
        <f>BIN2HEX(_xlfn.CONCAT(M8,N8),2)</f>
        <v>87</v>
      </c>
      <c r="N5" s="41"/>
      <c r="O5" s="40" t="str">
        <f>BIN2HEX(_xlfn.CONCAT(O8,P8),2)</f>
        <v>60</v>
      </c>
      <c r="P5" s="41"/>
      <c r="Q5" s="40" t="str">
        <f>BIN2HEX(_xlfn.CONCAT(Q8,R8),2)</f>
        <v>76</v>
      </c>
      <c r="R5" s="41"/>
      <c r="S5" s="40" t="str">
        <f>BIN2HEX(_xlfn.CONCAT(S8,T8),2)</f>
        <v>8F</v>
      </c>
      <c r="T5" s="41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26</v>
      </c>
      <c r="AS5" s="13" t="s">
        <v>11</v>
      </c>
      <c r="AU5" s="15" t="s">
        <v>41</v>
      </c>
      <c r="AV5" s="6" t="s">
        <v>11</v>
      </c>
    </row>
    <row r="6" spans="2:54" ht="30.55" customHeight="1" x14ac:dyDescent="0.3">
      <c r="B6" s="70" t="s">
        <v>74</v>
      </c>
      <c r="C6" s="66" t="s">
        <v>14</v>
      </c>
      <c r="D6" s="32" t="s">
        <v>16</v>
      </c>
      <c r="E6" s="33" t="s">
        <v>21</v>
      </c>
      <c r="F6" s="34" t="s">
        <v>12</v>
      </c>
      <c r="G6" s="35" t="s">
        <v>66</v>
      </c>
      <c r="H6" s="33" t="s">
        <v>46</v>
      </c>
      <c r="I6" s="36" t="s">
        <v>65</v>
      </c>
      <c r="J6" s="35" t="s">
        <v>67</v>
      </c>
      <c r="K6" s="32" t="s">
        <v>15</v>
      </c>
      <c r="L6" s="34" t="s">
        <v>43</v>
      </c>
      <c r="M6" s="32" t="s">
        <v>64</v>
      </c>
      <c r="N6" s="34" t="s">
        <v>28</v>
      </c>
      <c r="O6" s="32" t="s">
        <v>63</v>
      </c>
      <c r="P6" s="34" t="s">
        <v>27</v>
      </c>
      <c r="Q6" s="32" t="s">
        <v>62</v>
      </c>
      <c r="R6" s="34" t="s">
        <v>18</v>
      </c>
      <c r="S6" s="32" t="s">
        <v>61</v>
      </c>
      <c r="T6" s="34" t="s">
        <v>17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25</v>
      </c>
      <c r="AS6" s="13" t="s">
        <v>10</v>
      </c>
      <c r="AU6" s="15" t="s">
        <v>42</v>
      </c>
      <c r="AV6" s="6" t="s">
        <v>10</v>
      </c>
    </row>
    <row r="7" spans="2:54" x14ac:dyDescent="0.3">
      <c r="B7" s="69"/>
      <c r="C7" s="67">
        <v>2</v>
      </c>
      <c r="D7" s="11" t="s">
        <v>24</v>
      </c>
      <c r="E7" s="16" t="s">
        <v>23</v>
      </c>
      <c r="F7" s="16" t="s">
        <v>22</v>
      </c>
      <c r="G7" s="10">
        <v>0</v>
      </c>
      <c r="H7" s="16" t="s">
        <v>22</v>
      </c>
      <c r="I7" s="17" t="s">
        <v>32</v>
      </c>
      <c r="J7" s="28">
        <v>96</v>
      </c>
      <c r="K7" s="29">
        <v>0</v>
      </c>
      <c r="L7" s="18" t="s">
        <v>42</v>
      </c>
      <c r="M7" s="25">
        <f>INDEX(AX15:AX17,MATCH(I3,AU15:AU17,0))</f>
        <v>0.26500000000000001</v>
      </c>
      <c r="N7" s="38" t="s">
        <v>22</v>
      </c>
      <c r="O7" s="26">
        <f>INDEX(AY15:AY17,MATCH($I$3,$AU$15:$AU$17,0))</f>
        <v>0.69</v>
      </c>
      <c r="P7" s="38" t="s">
        <v>23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31</v>
      </c>
      <c r="AS7" s="13" t="s">
        <v>33</v>
      </c>
      <c r="AU7" s="15" t="s">
        <v>44</v>
      </c>
      <c r="AV7" s="6" t="s">
        <v>33</v>
      </c>
    </row>
    <row r="8" spans="2:54" s="7" customFormat="1" ht="15" thickBot="1" x14ac:dyDescent="0.35">
      <c r="B8" s="72"/>
      <c r="C8" s="68" t="s">
        <v>19</v>
      </c>
      <c r="D8" s="19" t="s">
        <v>20</v>
      </c>
      <c r="E8" s="20">
        <f>IF(EXACT(E7,"Supported"),1,0)</f>
        <v>0</v>
      </c>
      <c r="F8" s="20">
        <f>IF(EXACT(F7,"Supported"),1,0)</f>
        <v>1</v>
      </c>
      <c r="G8" s="12" t="s">
        <v>36</v>
      </c>
      <c r="H8" s="20">
        <f>IF(EXACT(H7,"Supported"),1,0)</f>
        <v>1</v>
      </c>
      <c r="I8" s="21" t="str">
        <f>IF(EXACT(E7,"Not Supported"),"11",INDEX(AS5:AS8,MATCH(I7,AR5:AR8,0)))</f>
        <v>11</v>
      </c>
      <c r="J8" s="22" t="str">
        <f>DEC2BIN(VLOOKUP(J7,AN5:AO36,2),5)</f>
        <v>00000</v>
      </c>
      <c r="K8" s="30">
        <v>0</v>
      </c>
      <c r="L8" s="21" t="str">
        <f>VLOOKUP(L7,AU5:AV8,2)</f>
        <v>01</v>
      </c>
      <c r="M8" s="31" t="str">
        <f>DEC2BIN(M7/( 0.49609375/127),7)</f>
        <v>1000011</v>
      </c>
      <c r="N8" s="23">
        <f>IF(AND(EXACT(N7,"Supported"),EXACT(P7,"Not Supported")),1,0)</f>
        <v>1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32</v>
      </c>
      <c r="AS8" s="13" t="s">
        <v>34</v>
      </c>
      <c r="AU8" s="15" t="s">
        <v>45</v>
      </c>
      <c r="AV8" s="8" t="s">
        <v>34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36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35</v>
      </c>
      <c r="AS9">
        <v>11</v>
      </c>
    </row>
    <row r="10" spans="2:54" x14ac:dyDescent="0.3">
      <c r="B10" s="57" t="s">
        <v>69</v>
      </c>
      <c r="C10" s="47" t="s">
        <v>71</v>
      </c>
      <c r="D10" s="48"/>
      <c r="E10" s="48"/>
      <c r="F10" s="48"/>
      <c r="G10" s="48"/>
      <c r="H10" s="48"/>
      <c r="I10" s="48"/>
      <c r="J10" s="4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8" t="s">
        <v>70</v>
      </c>
      <c r="C11" s="45" t="s">
        <v>72</v>
      </c>
      <c r="D11" s="9"/>
      <c r="E11" s="9"/>
      <c r="F11" s="9"/>
      <c r="G11" s="9"/>
      <c r="H11" s="9"/>
      <c r="I11" s="9"/>
      <c r="J11" s="50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63" t="s">
        <v>0</v>
      </c>
      <c r="C12" s="64" t="str">
        <f>_xlfn.CONCAT(B5:T5)</f>
        <v>EB0146D0004507018760768F</v>
      </c>
      <c r="D12" s="64"/>
      <c r="E12" s="64"/>
      <c r="F12" s="64"/>
      <c r="G12" s="64"/>
      <c r="H12" s="64"/>
      <c r="I12" s="64"/>
      <c r="J12" s="6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9" t="s">
        <v>68</v>
      </c>
      <c r="C13" s="52" t="str" cm="1">
        <f t="array" ref="C13">EDIDCheckSum(C12)</f>
        <v>9F</v>
      </c>
      <c r="D13" s="46"/>
      <c r="E13" s="46"/>
      <c r="F13" s="46"/>
      <c r="G13" s="46"/>
      <c r="H13" s="46"/>
      <c r="I13" s="46"/>
      <c r="J13" s="51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60" t="s">
        <v>5</v>
      </c>
      <c r="C14" s="53" t="str">
        <f>_xlfn.CONCAT(":1072C000024600207047",LEFT(C$12,20),IntelHexChecksum(_xlfn.CONCAT("1072C000024600207047",LEFT(C$12,20))))</f>
        <v>:1072C000024600207047EB0146D000450701876069</v>
      </c>
      <c r="D14" s="46"/>
      <c r="E14" s="46"/>
      <c r="F14" s="46"/>
      <c r="G14" s="46"/>
      <c r="H14" s="46"/>
      <c r="I14" s="46"/>
      <c r="J14" s="51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U14" t="s">
        <v>47</v>
      </c>
      <c r="AV14" t="s">
        <v>51</v>
      </c>
      <c r="AW14" t="s">
        <v>52</v>
      </c>
      <c r="AX14" t="s">
        <v>53</v>
      </c>
      <c r="AY14" t="s">
        <v>54</v>
      </c>
      <c r="AZ14" t="s">
        <v>55</v>
      </c>
      <c r="BA14" t="s">
        <v>56</v>
      </c>
      <c r="BB14" t="s">
        <v>60</v>
      </c>
    </row>
    <row r="15" spans="2:54" x14ac:dyDescent="0.3">
      <c r="B15" s="60" t="s">
        <v>6</v>
      </c>
      <c r="C15" s="53" t="str">
        <f>_xlfn.CONCAT(":1072D000",RIGHT(C$12,4),"00FFFFFFFFFFFF004C2D010C0100",IntelHexChecksum(_xlfn.CONCAT("1072D000",RIGHT(C$12,4),"00FFFFFFFFFFFF004C2D010C0100")))</f>
        <v>:1072D000768F00FFFFFFFFFFFF004C2D010C010028</v>
      </c>
      <c r="D15" s="46"/>
      <c r="E15" s="46"/>
      <c r="F15" s="46"/>
      <c r="G15" s="46"/>
      <c r="H15" s="46"/>
      <c r="I15" s="46"/>
      <c r="J15" s="51"/>
      <c r="AN15" s="4">
        <f t="shared" si="0"/>
        <v>447</v>
      </c>
      <c r="AO15">
        <v>10</v>
      </c>
      <c r="AP15" s="4" cm="1">
        <f t="array" ref="AP15">PQ2nits((2055+65*AO15)/(2055+31*65))</f>
        <v>447.44243145789636</v>
      </c>
      <c r="AU15" s="6" t="s">
        <v>48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59</v>
      </c>
    </row>
    <row r="16" spans="2:54" x14ac:dyDescent="0.3">
      <c r="B16" s="61" t="s">
        <v>7</v>
      </c>
      <c r="C16" s="53" t="str">
        <f>_xlfn.CONCAT(":1074A000060501",C$12,"8C",IntelHexChecksum(_xlfn.CONCAT("1074A000060501",C$12,"8C")))</f>
        <v>:1074A000060501EB0146D0004507018760768F8C09</v>
      </c>
      <c r="D16" s="46"/>
      <c r="E16" s="46"/>
      <c r="F16" s="46"/>
      <c r="G16" s="46"/>
      <c r="H16" s="46"/>
      <c r="I16" s="46"/>
      <c r="J16" s="51"/>
      <c r="AN16" s="4">
        <f t="shared" si="0"/>
        <v>518</v>
      </c>
      <c r="AO16">
        <v>11</v>
      </c>
      <c r="AP16" s="4" cm="1">
        <f t="array" ref="AP16">PQ2nits((2055+65*AO16)/(2055+31*65))</f>
        <v>518.90120035135783</v>
      </c>
      <c r="AU16" s="6" t="s">
        <v>49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57</v>
      </c>
    </row>
    <row r="17" spans="2:54" x14ac:dyDescent="0.3">
      <c r="B17" s="61" t="s">
        <v>8</v>
      </c>
      <c r="C17" s="53" t="str">
        <f>_xlfn.CONCAT(":10899000000000000000",C$13,"0605018C0AD08A20E0",IntelHexChecksum((_xlfn.CONCAT("10899000000000000000",C$13,"0605018C0AD08A20E0"))))</f>
        <v>:108990000000000000009F0605018C0AD08A20E03C</v>
      </c>
      <c r="D17" s="46"/>
      <c r="E17" s="46"/>
      <c r="F17" s="46"/>
      <c r="G17" s="46"/>
      <c r="H17" s="46"/>
      <c r="I17" s="46"/>
      <c r="J17" s="51"/>
      <c r="AN17" s="4">
        <f t="shared" si="0"/>
        <v>601</v>
      </c>
      <c r="AO17">
        <v>12</v>
      </c>
      <c r="AP17" s="4" cm="1">
        <f t="array" ref="AP17">PQ2nits((2055+65*AO17)/(2055+31*65))</f>
        <v>601.47603811806903</v>
      </c>
      <c r="AU17" s="6" t="s">
        <v>50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58</v>
      </c>
    </row>
    <row r="18" spans="2:54" ht="15" thickBot="1" x14ac:dyDescent="0.35">
      <c r="B18" s="62" t="s">
        <v>9</v>
      </c>
      <c r="C18" s="54" t="str">
        <f>_xlfn.CONCAT(":108A9000201820282038200000000000000000",C$13,IntelHexChecksum(_xlfn.CONCAT("108A9000201820282038200000000000000000",C$13)))</f>
        <v>:108A90002018202820382000000000000000009F3F</v>
      </c>
      <c r="D18" s="55"/>
      <c r="E18" s="55"/>
      <c r="F18" s="55"/>
      <c r="G18" s="55"/>
      <c r="H18" s="55"/>
      <c r="I18" s="55"/>
      <c r="J18" s="56"/>
      <c r="AN18" s="4">
        <f t="shared" si="0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AN19" s="4">
        <f t="shared" si="0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AN20" s="4">
        <f t="shared" si="0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AN21" s="4">
        <f t="shared" si="0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AN22" s="4">
        <f t="shared" si="0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AN23" s="4">
        <f t="shared" si="0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AN24" s="4">
        <f t="shared" si="0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AN25" s="4">
        <f t="shared" si="0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AN26" s="4">
        <f t="shared" si="0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AN27" s="4">
        <f t="shared" si="0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AN28" s="4">
        <f t="shared" si="0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AN29" s="4">
        <f t="shared" si="0"/>
        <v>3501</v>
      </c>
      <c r="AO29">
        <v>24</v>
      </c>
      <c r="AP29" s="4" cm="1">
        <f t="array" ref="AP29">PQ2nits((2055+65*AO29)/(2055+31*65))</f>
        <v>3501.3151049329572</v>
      </c>
    </row>
    <row r="30" spans="2:54" x14ac:dyDescent="0.3">
      <c r="AN30" s="4">
        <f t="shared" si="0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AN31" s="4">
        <f t="shared" si="0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AN32" s="4">
        <f t="shared" si="0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0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0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0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0"/>
        <v>10000</v>
      </c>
      <c r="AO36">
        <v>31</v>
      </c>
      <c r="AP36" s="4" cm="1">
        <f t="array" ref="AP36">PQ2nits((2055+65*AO36)/(2055+31*65))</f>
        <v>10000</v>
      </c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5">
      <formula>$E$7="Not Supported"</formula>
    </cfRule>
  </conditionalFormatting>
  <conditionalFormatting sqref="N7">
    <cfRule type="expression" dxfId="2" priority="4">
      <formula>$P$7="Supported"</formula>
    </cfRule>
  </conditionalFormatting>
  <conditionalFormatting sqref="P7">
    <cfRule type="expression" dxfId="1" priority="3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7FEC5D88-C6EC-4251-B671-1BE4ACE3633B}">
      <formula1>"Supported, Not Supported"</formula1>
    </dataValidation>
    <dataValidation type="list" allowBlank="1" showInputMessage="1" showErrorMessage="1" sqref="L7" xr:uid="{536243BA-50E0-4F58-9EB4-50C6A18BC0EA}">
      <formula1>$AU$5:$AU$8</formula1>
    </dataValidation>
    <dataValidation type="list" allowBlank="1" showInputMessage="1" showErrorMessage="1" sqref="I3" xr:uid="{C575FEDF-137C-445A-A5C6-A70E6FF285BD}">
      <formula1>$AU$15:$AU$17</formula1>
    </dataValidation>
    <dataValidation type="list" allowBlank="1" showInputMessage="1" showErrorMessage="1" sqref="I7" xr:uid="{F08005DB-62B1-466E-8C16-806C27DAF7DC}">
      <formula1>$AR$5:$AR$9</formula1>
    </dataValidation>
    <dataValidation type="list" allowBlank="1" showInputMessage="1" showErrorMessage="1" sqref="J7" xr:uid="{55176498-3EAA-419A-B48D-C5EE25135590}">
      <formula1>$AN$5:$AN$36</formula1>
    </dataValidation>
  </dataValidations>
  <pageMargins left="0.7" right="0.7" top="0.75" bottom="0.75" header="0.3" footer="0.3"/>
  <pageSetup orientation="portrait" horizontalDpi="0" verticalDpi="0" r:id="rId1"/>
  <ignoredErrors>
    <ignoredError sqref="O8" formula="1"/>
    <ignoredError sqref="G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Button 28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FW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2022-10-04T20:13:58Z</dcterms:modified>
</cp:coreProperties>
</file>