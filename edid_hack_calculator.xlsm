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6BE70F4A-99B5-4365-BDDB-D6A749A17525}" xr6:coauthVersionLast="47" xr6:coauthVersionMax="47" xr10:uidLastSave="{00000000-0000-0000-0000-000000000000}"/>
  <bookViews>
    <workbookView xWindow="4758" yWindow="6970" windowWidth="31219" windowHeight="14538" activeTab="1" xr2:uid="{DE808AFE-8AFE-4111-8161-9EF8B03B2A2C}"/>
  </bookViews>
  <sheets>
    <sheet name="Patcher" sheetId="1" r:id="rId1"/>
    <sheet name="DV String Creato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" l="1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5" i="2" a="1"/>
  <c r="AP27" i="2" a="1"/>
  <c r="AP29" i="2" a="1"/>
  <c r="AP31" i="2" a="1"/>
  <c r="AP33" i="2" a="1"/>
  <c r="AP26" i="2" a="1"/>
  <c r="AP30" i="2" a="1"/>
  <c r="AP32" i="2" a="1"/>
  <c r="AP34" i="2" a="1"/>
  <c r="AP35" i="2" a="1"/>
  <c r="AP28" i="2" a="1"/>
  <c r="AP36" i="2" a="1"/>
  <c r="AP6" i="2" a="1"/>
  <c r="AP8" i="2" a="1"/>
  <c r="AP10" i="2" a="1"/>
  <c r="AP12" i="2" a="1"/>
  <c r="AP14" i="2" a="1"/>
  <c r="AP16" i="2" a="1"/>
  <c r="AP18" i="2" a="1"/>
  <c r="AP20" i="2" a="1"/>
  <c r="AP22" i="2" a="1"/>
  <c r="AP24" i="2" a="1"/>
  <c r="AP7" i="2" a="1"/>
  <c r="AP9" i="2" a="1"/>
  <c r="AP11" i="2" a="1"/>
  <c r="AP13" i="2" a="1"/>
  <c r="AP15" i="2" a="1"/>
  <c r="AP17" i="2" a="1"/>
  <c r="AP19" i="2" a="1"/>
  <c r="AP21" i="2" a="1"/>
  <c r="AP23" i="2" a="1"/>
  <c r="AP5" i="2" a="1"/>
  <c r="C4" i="1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H6" i="1" a="1"/>
  <c r="P6" i="1" a="1"/>
  <c r="X6" i="1" a="1"/>
  <c r="AF6" i="1" a="1"/>
  <c r="AG6" i="1" a="1"/>
  <c r="I6" i="1" a="1"/>
  <c r="Q6" i="1" a="1"/>
  <c r="AE6" i="1" a="1"/>
  <c r="AG7" i="1"/>
  <c r="AE7" i="1"/>
  <c r="V4" i="1" a="1"/>
  <c r="N7" i="1"/>
  <c r="N8" i="1"/>
  <c r="R4" i="1" a="1"/>
  <c r="Z9" i="1"/>
  <c r="AC7" i="1"/>
  <c r="F4" i="1" a="1"/>
  <c r="F9" i="1"/>
  <c r="H8" i="1"/>
  <c r="C9" i="1"/>
  <c r="J6" i="1" a="1"/>
  <c r="R6" i="1" a="1"/>
  <c r="Z6" i="1" a="1"/>
  <c r="AH6" i="1" a="1"/>
  <c r="G6" i="1" a="1"/>
  <c r="K6" i="1" a="1"/>
  <c r="S6" i="1" a="1"/>
  <c r="AG8" i="1"/>
  <c r="AF8" i="1"/>
  <c r="J8" i="1"/>
  <c r="N9" i="1"/>
  <c r="R7" i="1"/>
  <c r="R8" i="1"/>
  <c r="Z4" i="1" a="1"/>
  <c r="I7" i="1"/>
  <c r="Q7" i="1"/>
  <c r="H4" i="1" a="1"/>
  <c r="D7" i="1"/>
  <c r="F8" i="1"/>
  <c r="G9" i="1"/>
  <c r="D9" i="1"/>
  <c r="C8" i="1"/>
  <c r="E9" i="1"/>
  <c r="C7" i="1"/>
  <c r="D6" i="1" a="1"/>
  <c r="L6" i="1" a="1"/>
  <c r="T6" i="1" a="1"/>
  <c r="AB6" i="1" a="1"/>
  <c r="U6" i="1" a="1"/>
  <c r="Y6" i="1" a="1"/>
  <c r="M6" i="1" a="1"/>
  <c r="W6" i="1" a="1"/>
  <c r="AG9" i="1"/>
  <c r="AF4" i="1" a="1"/>
  <c r="V8" i="1"/>
  <c r="V9" i="1"/>
  <c r="V7" i="1"/>
  <c r="Z8" i="1"/>
  <c r="J9" i="1"/>
  <c r="Y7" i="1"/>
  <c r="U7" i="1"/>
  <c r="E4" i="1" a="1"/>
  <c r="H7" i="1"/>
  <c r="E7" i="1"/>
  <c r="H9" i="1"/>
  <c r="F6" i="1" a="1"/>
  <c r="N6" i="1" a="1"/>
  <c r="V6" i="1" a="1"/>
  <c r="AD6" i="1" a="1"/>
  <c r="AC6" i="1" a="1"/>
  <c r="E6" i="1" a="1"/>
  <c r="O6" i="1" a="1"/>
  <c r="AA6" i="1" a="1"/>
  <c r="AF9" i="1"/>
  <c r="AG4" i="1" a="1"/>
  <c r="N4" i="1" a="1"/>
  <c r="J7" i="1"/>
  <c r="Z7" i="1"/>
  <c r="J4" i="1" a="1"/>
  <c r="R9" i="1"/>
  <c r="M7" i="1"/>
  <c r="D4" i="1" a="1"/>
  <c r="G4" i="1" a="1"/>
  <c r="G8" i="1"/>
  <c r="D8" i="1"/>
  <c r="F7" i="1"/>
  <c r="G7" i="1"/>
  <c r="C6" i="1" a="1"/>
  <c r="E8" i="1"/>
  <c r="O8" i="2" l="1"/>
  <c r="O5" i="2" s="1"/>
  <c r="C10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C14" i="2"/>
  <c r="C13" i="2"/>
  <c r="C12" i="2"/>
  <c r="C11" i="2" a="1"/>
  <c r="Q11" i="1"/>
  <c r="AG10" i="1"/>
  <c r="X10" i="1"/>
  <c r="H11" i="1"/>
  <c r="AE10" i="1"/>
  <c r="I10" i="1"/>
  <c r="AF11" i="1"/>
  <c r="P11" i="1"/>
  <c r="AA10" i="1"/>
  <c r="AC10" i="1"/>
  <c r="V11" i="1"/>
  <c r="F11" i="1"/>
  <c r="M10" i="1"/>
  <c r="U10" i="1"/>
  <c r="T10" i="1"/>
  <c r="S10" i="1"/>
  <c r="AH11" i="1"/>
  <c r="R11" i="1"/>
  <c r="AH8" i="1"/>
  <c r="AF7" i="1"/>
  <c r="AH9" i="1"/>
  <c r="AB7" i="1"/>
  <c r="AB8" i="1"/>
  <c r="S9" i="1"/>
  <c r="AA9" i="1"/>
  <c r="AC4" i="1" a="1"/>
  <c r="P9" i="1"/>
  <c r="AB9" i="1"/>
  <c r="P4" i="1" a="1"/>
  <c r="K7" i="1"/>
  <c r="U9" i="1"/>
  <c r="W7" i="1"/>
  <c r="Q9" i="1"/>
  <c r="S4" i="1" a="1"/>
  <c r="U4" i="1" a="1"/>
  <c r="Y8" i="1"/>
  <c r="C10" i="1"/>
  <c r="D10" i="1"/>
  <c r="I9" i="1"/>
  <c r="AA4" i="1" a="1"/>
  <c r="G10" i="1"/>
  <c r="AD11" i="1"/>
  <c r="W10" i="1"/>
  <c r="AB11" i="1"/>
  <c r="K11" i="1"/>
  <c r="J10" i="1"/>
  <c r="AE4" i="1" a="1"/>
  <c r="W8" i="1"/>
  <c r="U8" i="1"/>
  <c r="I4" i="1" a="1"/>
  <c r="K4" i="1" a="1"/>
  <c r="L4" i="1" a="1"/>
  <c r="L7" i="1"/>
  <c r="AA7" i="1"/>
  <c r="E10" i="1"/>
  <c r="AE11" i="1"/>
  <c r="I11" i="1"/>
  <c r="AF10" i="1"/>
  <c r="P10" i="1"/>
  <c r="V10" i="1"/>
  <c r="F10" i="1"/>
  <c r="M11" i="1"/>
  <c r="U11" i="1"/>
  <c r="T11" i="1"/>
  <c r="S11" i="1"/>
  <c r="AH10" i="1"/>
  <c r="R10" i="1"/>
  <c r="AD8" i="1"/>
  <c r="AE9" i="1"/>
  <c r="AH7" i="1"/>
  <c r="T9" i="1"/>
  <c r="T8" i="1"/>
  <c r="K9" i="1"/>
  <c r="O9" i="1"/>
  <c r="M4" i="1" a="1"/>
  <c r="O7" i="1"/>
  <c r="T7" i="1"/>
  <c r="O4" i="1" a="1"/>
  <c r="P7" i="1"/>
  <c r="AB4" i="1" a="1"/>
  <c r="S8" i="1"/>
  <c r="Y4" i="1" a="1"/>
  <c r="X9" i="1"/>
  <c r="S7" i="1"/>
  <c r="Q4" i="1" a="1"/>
  <c r="C11" i="1"/>
  <c r="D11" i="1"/>
  <c r="T4" i="1" a="1"/>
  <c r="X7" i="1"/>
  <c r="X4" i="1" a="1"/>
  <c r="E11" i="1"/>
  <c r="N10" i="1"/>
  <c r="Y11" i="1"/>
  <c r="L11" i="1"/>
  <c r="Z10" i="1"/>
  <c r="AD9" i="1"/>
  <c r="AD4" i="1" a="1"/>
  <c r="W9" i="1"/>
  <c r="P8" i="1"/>
  <c r="K8" i="1"/>
  <c r="AC9" i="1"/>
  <c r="I8" i="1"/>
  <c r="AA8" i="1"/>
  <c r="AC8" i="1"/>
  <c r="G11" i="1"/>
  <c r="Q10" i="1"/>
  <c r="AG11" i="1"/>
  <c r="X11" i="1"/>
  <c r="H10" i="1"/>
  <c r="O11" i="1"/>
  <c r="AD10" i="1"/>
  <c r="N11" i="1"/>
  <c r="W11" i="1"/>
  <c r="Y10" i="1"/>
  <c r="AB10" i="1"/>
  <c r="L10" i="1"/>
  <c r="K10" i="1"/>
  <c r="Z11" i="1"/>
  <c r="J11" i="1"/>
  <c r="AE8" i="1"/>
  <c r="AH4" i="1" a="1"/>
  <c r="AD7" i="1"/>
  <c r="L9" i="1"/>
  <c r="L8" i="1"/>
  <c r="X8" i="1"/>
  <c r="Y9" i="1"/>
  <c r="M9" i="1"/>
  <c r="Q8" i="1"/>
  <c r="W4" i="1" a="1"/>
  <c r="M8" i="1"/>
  <c r="O8" i="1"/>
  <c r="AA11" i="1"/>
  <c r="O10" i="1"/>
  <c r="AC11" i="1"/>
  <c r="C11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C16" i="2"/>
  <c r="C1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<sst xmlns="http://schemas.openxmlformats.org/spreadsheetml/2006/main" count="90" uniqueCount="72">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</sst>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  <xf numFmtId="0" fontId="2" fillId="0" borderId="11" xfId="0" quotePrefix="1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2" fillId="0" borderId="25" xfId="0" applyFont="1" applyBorder="1"/>
    <xf numFmtId="0" fontId="0" fillId="0" borderId="26" xfId="0" applyBorder="1"/>
    <xf numFmtId="0" fontId="0" fillId="2" borderId="24" xfId="0" applyFill="1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2" fillId="0" borderId="15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E30" sqref="E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I23" sqref="I23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8.5976562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42" t="s">
        <v>40</v>
      </c>
      <c r="I3" s="43" t="s">
        <v>53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16" t="str">
        <f>DEC2HEX(_xlfn.BITLSHIFT(BIN2DEC(H8),5)+_xlfn.BITLSHIFT(BIN2DEC(I8),2)+_xlfn.BITLSHIFT(BIN2DEC(J8),1)+BIN2DEC(K8))</f>
        <v>45</v>
      </c>
      <c r="I5" s="17"/>
      <c r="J5" s="17"/>
      <c r="K5" s="18"/>
      <c r="L5" s="19" t="str">
        <f>DEC2HEX(_xlfn.BITLSHIFT(BIN2DEC(L8),3)+_xlfn.BITLSHIFT(BIN2DEC(M8),2)+BIN2DEC(N8),2)</f>
        <v>07</v>
      </c>
      <c r="M5" s="20"/>
      <c r="N5" s="21"/>
      <c r="O5" s="19" t="str">
        <f>DEC2HEX(_xlfn.BITLSHIFT(BIN2DEC(O8),3)+_xlfn.BITLSHIFT(BIN2DEC(P8),1)+BIN2DEC(Q8),2)</f>
        <v>49</v>
      </c>
      <c r="P5" s="20"/>
      <c r="Q5" s="21"/>
      <c r="R5" s="20" t="str">
        <f>BIN2HEX(_xlfn.CONCAT(R8,S8),2)</f>
        <v>87</v>
      </c>
      <c r="S5" s="21"/>
      <c r="T5" s="20" t="str">
        <f>BIN2HEX(_xlfn.CONCAT(T8,U8),2)</f>
        <v>60</v>
      </c>
      <c r="U5" s="21"/>
      <c r="V5" s="20" t="str">
        <f>BIN2HEX(_xlfn.CONCAT(V8,W8),2)</f>
        <v>76</v>
      </c>
      <c r="W5" s="21"/>
      <c r="X5" s="20" t="str">
        <f>BIN2HEX(_xlfn.CONCAT(X8,Y8),2)</f>
        <v>8F</v>
      </c>
      <c r="Y5" s="21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28" t="s">
        <v>29</v>
      </c>
      <c r="AS5" s="27" t="s">
        <v>13</v>
      </c>
      <c r="AU5" s="29" t="s">
        <v>44</v>
      </c>
      <c r="AV5" s="6" t="s">
        <v>13</v>
      </c>
    </row>
    <row r="6" spans="2:54" ht="30.55" customHeight="1" x14ac:dyDescent="0.3">
      <c r="C6" s="58" t="s">
        <v>23</v>
      </c>
      <c r="D6" s="59"/>
      <c r="E6" s="59"/>
      <c r="F6" s="59"/>
      <c r="G6" s="60"/>
      <c r="H6" s="30" t="s">
        <v>16</v>
      </c>
      <c r="I6" s="31" t="s">
        <v>18</v>
      </c>
      <c r="J6" s="32" t="s">
        <v>24</v>
      </c>
      <c r="K6" s="33" t="s">
        <v>14</v>
      </c>
      <c r="L6" s="57" t="s">
        <v>69</v>
      </c>
      <c r="M6" s="32" t="s">
        <v>49</v>
      </c>
      <c r="N6" s="56" t="s">
        <v>68</v>
      </c>
      <c r="O6" s="57" t="s">
        <v>70</v>
      </c>
      <c r="P6" s="34" t="s">
        <v>17</v>
      </c>
      <c r="Q6" s="33" t="s">
        <v>46</v>
      </c>
      <c r="R6" s="34" t="s">
        <v>67</v>
      </c>
      <c r="S6" s="33" t="s">
        <v>31</v>
      </c>
      <c r="T6" s="34" t="s">
        <v>66</v>
      </c>
      <c r="U6" s="33" t="s">
        <v>30</v>
      </c>
      <c r="V6" s="34" t="s">
        <v>65</v>
      </c>
      <c r="W6" s="33" t="s">
        <v>20</v>
      </c>
      <c r="X6" s="31" t="s">
        <v>64</v>
      </c>
      <c r="Y6" s="33" t="s">
        <v>19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28" t="s">
        <v>28</v>
      </c>
      <c r="AS6" s="27" t="s">
        <v>11</v>
      </c>
      <c r="AU6" s="29" t="s">
        <v>45</v>
      </c>
      <c r="AV6" s="6" t="s">
        <v>11</v>
      </c>
    </row>
    <row r="7" spans="2:54" x14ac:dyDescent="0.3">
      <c r="C7" s="22"/>
      <c r="D7" s="10"/>
      <c r="E7" s="10"/>
      <c r="F7" s="10"/>
      <c r="G7" s="23"/>
      <c r="H7" s="24">
        <v>2</v>
      </c>
      <c r="I7" s="25" t="s">
        <v>27</v>
      </c>
      <c r="J7" s="35" t="s">
        <v>26</v>
      </c>
      <c r="K7" s="35" t="s">
        <v>25</v>
      </c>
      <c r="L7" s="24">
        <v>0</v>
      </c>
      <c r="M7" s="35" t="s">
        <v>25</v>
      </c>
      <c r="N7" s="36" t="s">
        <v>35</v>
      </c>
      <c r="O7" s="53">
        <v>385</v>
      </c>
      <c r="P7" s="54">
        <v>0</v>
      </c>
      <c r="Q7" s="37" t="s">
        <v>45</v>
      </c>
      <c r="R7" s="48">
        <f>INDEX(AX13:AX15,MATCH(I3,AU13:AU15,0))</f>
        <v>0.26500000000000001</v>
      </c>
      <c r="S7" s="49" t="s">
        <v>25</v>
      </c>
      <c r="T7" s="50">
        <f>INDEX(AY13:AY15,MATCH($I$3,$AU$13:$AU$15,0))</f>
        <v>0.69</v>
      </c>
      <c r="U7" s="49" t="s">
        <v>26</v>
      </c>
      <c r="V7" s="50">
        <f>INDEX(AV13:AV15,MATCH($I$3,$AU$13:$AU$15,0))</f>
        <v>0.68</v>
      </c>
      <c r="W7" s="51">
        <f>INDEX(AZ13:AZ15,MATCH($I$3,$AU$13:$AU$15,0))</f>
        <v>0.15</v>
      </c>
      <c r="X7" s="48">
        <f>INDEX(AW13:AW15,MATCH($I$3,$AU$13:$AU$15,0))</f>
        <v>0.32</v>
      </c>
      <c r="Y7" s="51">
        <f>INDEX(BA13:BA15,MATCH($I$3,$AU$13:$AU$15,0))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28" t="s">
        <v>34</v>
      </c>
      <c r="AS7" s="27" t="s">
        <v>36</v>
      </c>
      <c r="AU7" s="29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6" t="s">
        <v>21</v>
      </c>
      <c r="I8" s="38" t="s">
        <v>22</v>
      </c>
      <c r="J8" s="39">
        <f>IF(EXACT(J7,"Supported"),1,0)</f>
        <v>0</v>
      </c>
      <c r="K8" s="39">
        <f>IF(EXACT(K7,"Supported"),1,0)</f>
        <v>1</v>
      </c>
      <c r="L8" s="26" t="s">
        <v>39</v>
      </c>
      <c r="M8" s="39">
        <f>IF(EXACT(M7,"Supported"),1,0)</f>
        <v>1</v>
      </c>
      <c r="N8" s="40" t="str">
        <f>IF(EXACT(J7,"Not Supported"),"11",INDEX(AS5:AS8,MATCH(N7,AR5:AR8,0)))</f>
        <v>11</v>
      </c>
      <c r="O8" s="44" t="str">
        <f>DEC2BIN(VLOOKUP(O7,AN5:AO36,2),5)</f>
        <v>01001</v>
      </c>
      <c r="P8" s="55">
        <v>0</v>
      </c>
      <c r="Q8" s="40" t="str">
        <f>VLOOKUP(Q7,AU5:AV8,2)</f>
        <v>01</v>
      </c>
      <c r="R8" s="45" t="str">
        <f>DEC2BIN(R7/( 0.49609375/127),7)</f>
        <v>1000011</v>
      </c>
      <c r="S8" s="46">
        <f>IF(AND(EXACT(S7,"Supported"),EXACT(U7,"Not Supported")),1,0)</f>
        <v>1</v>
      </c>
      <c r="T8" s="45" t="str">
        <f>DEC2BIN((T7-0.5)/((0.99609375-0.5)/127),7)</f>
        <v>0110000</v>
      </c>
      <c r="U8" s="46">
        <f>IF(AND(EXACT(U7,"Supported"),EXACT(S7,"Not Supported")),1,0)</f>
        <v>0</v>
      </c>
      <c r="V8" s="52" t="str">
        <f>DEC2BIN((V7-0.625)/((0.74609375-0.625)/31),5)</f>
        <v>01110</v>
      </c>
      <c r="W8" s="41" t="str">
        <f>DEC2BIN((W7-0.125)/((0.15234375-0.125)/7),3)</f>
        <v>110</v>
      </c>
      <c r="X8" s="52" t="str">
        <f>DEC2BIN((X7-0.25)/((0.37109375-0.25)/31),5)</f>
        <v>10001</v>
      </c>
      <c r="Y8" s="41" t="str">
        <f>DEC2BIN((Y7-0.03125)/((0.05859375-0.03125)/7),3)</f>
        <v>111</v>
      </c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27" t="s">
        <v>35</v>
      </c>
      <c r="AS8" s="27" t="s">
        <v>37</v>
      </c>
      <c r="AU8" s="29" t="s">
        <v>48</v>
      </c>
      <c r="AV8" s="8" t="s">
        <v>37</v>
      </c>
    </row>
    <row r="9" spans="2:54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>INT(AP9)</f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9" t="s">
        <v>0</v>
      </c>
      <c r="C10" t="str">
        <f>_xlfn.CONCAT(C5:Y5)</f>
        <v>EB0146D0004507498760768F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>INT(AP10)</f>
        <v>211</v>
      </c>
      <c r="AO10">
        <v>5</v>
      </c>
      <c r="AP10" s="4" cm="1">
        <f t="array" ref="AP10">PQ2nits((2055+65*AO10)/(2055+31*65))</f>
        <v>211.06861673067306</v>
      </c>
    </row>
    <row r="11" spans="2:54" x14ac:dyDescent="0.3">
      <c r="B11" t="s">
        <v>71</v>
      </c>
      <c r="C11" s="3" t="str" cm="1">
        <f t="array" ref="C11">EDIDCheckSum(C10)</f>
        <v>57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>INT(AP11)</f>
        <v>245</v>
      </c>
      <c r="AO11">
        <v>6</v>
      </c>
      <c r="AP11" s="4" cm="1">
        <f t="array" ref="AP11">PQ2nits((2055+65*AO11)/(2055+31*65))</f>
        <v>245.71757619655023</v>
      </c>
    </row>
    <row r="12" spans="2:54" x14ac:dyDescent="0.3">
      <c r="B12" s="1" t="s">
        <v>5</v>
      </c>
      <c r="C12" s="1" t="str">
        <f>_xlfn.CONCAT(":1072C000024600207047",LEFT(C$10,20),IntelHexChecksum(_xlfn.CONCAT("1072C000024600207047",LEFT(C$10,20))))</f>
        <v>:1072C000024600207047EB0146D000450749876021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>INT(AP12)</f>
        <v>285</v>
      </c>
      <c r="AO12">
        <v>7</v>
      </c>
      <c r="AP12" s="4" cm="1">
        <f t="array" ref="AP12">PQ2nits((2055+65*AO12)/(2055+31*65))</f>
        <v>285.77867132456396</v>
      </c>
      <c r="AU12" t="s">
        <v>50</v>
      </c>
      <c r="AV12" t="s">
        <v>54</v>
      </c>
      <c r="AW12" t="s">
        <v>55</v>
      </c>
      <c r="AX12" t="s">
        <v>56</v>
      </c>
      <c r="AY12" t="s">
        <v>57</v>
      </c>
      <c r="AZ12" t="s">
        <v>58</v>
      </c>
      <c r="BA12" t="s">
        <v>59</v>
      </c>
      <c r="BB12" t="s">
        <v>63</v>
      </c>
    </row>
    <row r="13" spans="2:54" x14ac:dyDescent="0.3">
      <c r="B13" s="1" t="s">
        <v>6</v>
      </c>
      <c r="C13" s="1" t="str">
        <f>_xlfn.CONCAT(":1072D000",RIGHT(C$10,4),"00FFFFFFFFFFFF004C2D010C0100",IntelHexChecksum(_xlfn.CONCAT("1072D000",RIGHT(C$10,4),"00FFFFFFFFFFFF004C2D010C0100")))</f>
        <v>:1072D000768F00FFFFFFFFFFFF004C2D010C010028</v>
      </c>
      <c r="AN13" s="4">
        <f>INT(AP13)</f>
        <v>332</v>
      </c>
      <c r="AO13">
        <v>8</v>
      </c>
      <c r="AP13" s="4" cm="1">
        <f t="array" ref="AP13">PQ2nits((2055+65*AO13)/(2055+31*65))</f>
        <v>332.08526759956629</v>
      </c>
      <c r="AU13" s="6" t="s">
        <v>51</v>
      </c>
      <c r="AV13" s="47">
        <v>0.64</v>
      </c>
      <c r="AW13" s="47">
        <v>0.33</v>
      </c>
      <c r="AX13" s="47">
        <v>0.3</v>
      </c>
      <c r="AY13" s="47">
        <v>0.6</v>
      </c>
      <c r="AZ13" s="47">
        <v>0.15</v>
      </c>
      <c r="BA13" s="47">
        <v>0.06</v>
      </c>
      <c r="BB13" t="s">
        <v>62</v>
      </c>
    </row>
    <row r="14" spans="2:54" x14ac:dyDescent="0.3">
      <c r="B14" s="2" t="s">
        <v>7</v>
      </c>
      <c r="C14" s="1" t="str">
        <f>_xlfn.CONCAT(":1074A000060501",C$10,"8C",IntelHexChecksum(_xlfn.CONCAT("1074A000060501",C$10,"8C")))</f>
        <v>:1074A000060501EB0146D0004507498760768F8CC1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s="6" t="s">
        <v>52</v>
      </c>
      <c r="AV14" s="47">
        <v>0.70799999999999996</v>
      </c>
      <c r="AW14" s="47">
        <v>0.29199999999999998</v>
      </c>
      <c r="AX14" s="47">
        <v>0.17</v>
      </c>
      <c r="AY14" s="47">
        <v>0.79700000000000004</v>
      </c>
      <c r="AZ14" s="47">
        <v>0.13100000000000001</v>
      </c>
      <c r="BA14" s="47">
        <v>4.5999999999999999E-2</v>
      </c>
      <c r="BB14" t="s">
        <v>60</v>
      </c>
    </row>
    <row r="15" spans="2:54" x14ac:dyDescent="0.3">
      <c r="B15" s="2" t="s">
        <v>8</v>
      </c>
      <c r="C15" s="1" t="str">
        <f>_xlfn.CONCAT(":10899000000000000000",C$11,"0605018C0AD08A20E0",IntelHexChecksum((_xlfn.CONCAT("10899000000000000000",C$11,"0605018C0AD08A20E0"))))</f>
        <v>:10899000000000000000570605018C0AD08A20E084</v>
      </c>
      <c r="AN15" s="4">
        <f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53</v>
      </c>
      <c r="AV15" s="47">
        <v>0.68</v>
      </c>
      <c r="AW15" s="47">
        <v>0.32</v>
      </c>
      <c r="AX15" s="47">
        <v>0.26500000000000001</v>
      </c>
      <c r="AY15" s="47">
        <v>0.69</v>
      </c>
      <c r="AZ15" s="47">
        <v>0.15</v>
      </c>
      <c r="BA15" s="47">
        <v>0.06</v>
      </c>
      <c r="BB15" t="s">
        <v>61</v>
      </c>
    </row>
    <row r="16" spans="2:54" x14ac:dyDescent="0.3">
      <c r="B16" s="1" t="s">
        <v>9</v>
      </c>
      <c r="C16" s="1" t="str">
        <f>_xlfn.CONCAT(":108A9000201820282038200000000000000000",C$11,IntelHexChecksum(_xlfn.CONCAT("108A9000201820282038200000000000000000",C$11)))</f>
        <v>:108A90002018202820382000000000000000005787</v>
      </c>
      <c r="AN16" s="4">
        <f>INT(AP16)</f>
        <v>518</v>
      </c>
      <c r="AO16">
        <v>11</v>
      </c>
      <c r="AP16" s="4" cm="1">
        <f t="array" ref="AP16">PQ2nits((2055+65*AO16)/(2055+31*65))</f>
        <v>518.90120035135783</v>
      </c>
    </row>
    <row r="17" spans="40:42" x14ac:dyDescent="0.3">
      <c r="AN17" s="4">
        <f>INT(AP17)</f>
        <v>601</v>
      </c>
      <c r="AO17">
        <v>12</v>
      </c>
      <c r="AP17" s="4" cm="1">
        <f t="array" ref="AP17">PQ2nits((2055+65*AO17)/(2055+31*65))</f>
        <v>601.47603811806903</v>
      </c>
    </row>
    <row r="18" spans="40:42" x14ac:dyDescent="0.3">
      <c r="AN18" s="4">
        <f>INT(AP18)</f>
        <v>696</v>
      </c>
      <c r="AO18">
        <v>13</v>
      </c>
      <c r="AP18" s="4" cm="1">
        <f t="array" ref="AP18">PQ2nits((2055+65*AO18)/(2055+31*65))</f>
        <v>696.90573691813393</v>
      </c>
    </row>
    <row r="19" spans="40:42" x14ac:dyDescent="0.3">
      <c r="AN19" s="4">
        <f>INT(AP19)</f>
        <v>807</v>
      </c>
      <c r="AO19">
        <v>14</v>
      </c>
      <c r="AP19" s="4" cm="1">
        <f t="array" ref="AP19">PQ2nits((2055+65*AO19)/(2055+31*65))</f>
        <v>807.20984771936151</v>
      </c>
    </row>
    <row r="20" spans="40:42" x14ac:dyDescent="0.3">
      <c r="AN20" s="4">
        <f>INT(AP20)</f>
        <v>934</v>
      </c>
      <c r="AO20">
        <v>15</v>
      </c>
      <c r="AP20" s="4" cm="1">
        <f t="array" ref="AP20">PQ2nits((2055+65*AO20)/(2055+31*65))</f>
        <v>934.73630576927678</v>
      </c>
    </row>
    <row r="21" spans="40:42" x14ac:dyDescent="0.3">
      <c r="AN21" s="4">
        <f>INT(AP21)</f>
        <v>1082</v>
      </c>
      <c r="AO21">
        <v>16</v>
      </c>
      <c r="AP21" s="4" cm="1">
        <f t="array" ref="AP21">PQ2nits((2055+65*AO21)/(2055+31*65))</f>
        <v>1082.2176298226216</v>
      </c>
    </row>
    <row r="22" spans="40:42" x14ac:dyDescent="0.3">
      <c r="AN22" s="4">
        <f>INT(AP22)</f>
        <v>1252</v>
      </c>
      <c r="AO22">
        <v>17</v>
      </c>
      <c r="AP22" s="4" cm="1">
        <f t="array" ref="AP22">PQ2nits((2055+65*AO22)/(2055+31*65))</f>
        <v>1252.8373417551975</v>
      </c>
    </row>
    <row r="23" spans="40:42" x14ac:dyDescent="0.3">
      <c r="AN23" s="4">
        <f>INT(AP23)</f>
        <v>1450</v>
      </c>
      <c r="AO23">
        <v>18</v>
      </c>
      <c r="AP23" s="4" cm="1">
        <f t="array" ref="AP23">PQ2nits((2055+65*AO23)/(2055+31*65))</f>
        <v>1450.3085913304442</v>
      </c>
    </row>
    <row r="24" spans="40:42" x14ac:dyDescent="0.3">
      <c r="AN24" s="4">
        <f>INT(AP24)</f>
        <v>1678</v>
      </c>
      <c r="AO24">
        <v>19</v>
      </c>
      <c r="AP24" s="4" cm="1">
        <f t="array" ref="AP24">PQ2nits((2055+65*AO24)/(2055+31*65))</f>
        <v>1678.9673833059749</v>
      </c>
    </row>
    <row r="25" spans="40:42" x14ac:dyDescent="0.3">
      <c r="AN25" s="4">
        <f>INT(AP25)</f>
        <v>1943</v>
      </c>
      <c r="AO25">
        <v>20</v>
      </c>
      <c r="AP25" s="4" cm="1">
        <f t="array" ref="AP25">PQ2nits((2055+65*AO25)/(2055+31*65))</f>
        <v>1943.8833082164776</v>
      </c>
    </row>
    <row r="26" spans="40:42" x14ac:dyDescent="0.3">
      <c r="AN26" s="4">
        <f>INT(AP26)</f>
        <v>2250</v>
      </c>
      <c r="AO26">
        <v>21</v>
      </c>
      <c r="AP26" s="4" cm="1">
        <f t="array" ref="AP26">PQ2nits((2055+65*AO26)/(2055+31*65))</f>
        <v>2250.9912958813088</v>
      </c>
    </row>
    <row r="27" spans="40:42" x14ac:dyDescent="0.3">
      <c r="AN27" s="4">
        <f>INT(AP27)</f>
        <v>2607</v>
      </c>
      <c r="AO27">
        <v>22</v>
      </c>
      <c r="AP27" s="4" cm="1">
        <f t="array" ref="AP27">PQ2nits((2055+65*AO27)/(2055+31*65))</f>
        <v>2607.2486693335695</v>
      </c>
    </row>
    <row r="28" spans="40:42" x14ac:dyDescent="0.3">
      <c r="AN28" s="4">
        <f>INT(AP28)</f>
        <v>3020</v>
      </c>
      <c r="AO28">
        <v>23</v>
      </c>
      <c r="AP28" s="4" cm="1">
        <f t="array" ref="AP28">PQ2nits((2055+65*AO28)/(2055+31*65))</f>
        <v>3020.8227108925894</v>
      </c>
    </row>
    <row r="29" spans="40:42" x14ac:dyDescent="0.3">
      <c r="AN29" s="4">
        <f>INT(AP29)</f>
        <v>3501</v>
      </c>
      <c r="AO29">
        <v>24</v>
      </c>
      <c r="AP29" s="4" cm="1">
        <f t="array" ref="AP29">PQ2nits((2055+65*AO29)/(2055+31*65))</f>
        <v>3501.3151049329572</v>
      </c>
    </row>
    <row r="30" spans="40:42" x14ac:dyDescent="0.3">
      <c r="AN30" s="4">
        <f>INT(AP30)</f>
        <v>4060</v>
      </c>
      <c r="AO30">
        <v>25</v>
      </c>
      <c r="AP30" s="4" cm="1">
        <f t="array" ref="AP30">PQ2nits((2055+65*AO30)/(2055+31*65))</f>
        <v>4060.0310484963115</v>
      </c>
    </row>
    <row r="31" spans="40:42" x14ac:dyDescent="0.3">
      <c r="AN31" s="4">
        <f>INT(AP31)</f>
        <v>4710</v>
      </c>
      <c r="AO31">
        <v>26</v>
      </c>
      <c r="AP31" s="4" cm="1">
        <f t="array" ref="AP31">PQ2nits((2055+65*AO31)/(2055+31*65))</f>
        <v>4710.3025909539483</v>
      </c>
    </row>
    <row r="32" spans="40:42" x14ac:dyDescent="0.3">
      <c r="AN32" s="4">
        <f>INT(AP32)</f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>INT(AP33)</f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>INT(AP34)</f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>INT(AP35)</f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>INT(AP36)</f>
        <v>10000</v>
      </c>
      <c r="AO36">
        <v>31</v>
      </c>
      <c r="AP36" s="4" cm="1">
        <f t="array" ref="AP36">PQ2nits((2055+65*AO36)/(2055+31*65))</f>
        <v>10000</v>
      </c>
    </row>
  </sheetData>
  <sheetProtection sheet="1" objects="1" scenarios="1"/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O7" xr:uid="{55176498-3EAA-419A-B48D-C5EE25135590}">
      <formula1>$AN$5:$AN$36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$AU$13:$AU$15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DV String Creator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2022-10-04T14:29:56Z</dcterms:modified>
</cp:coreProperties>
</file>