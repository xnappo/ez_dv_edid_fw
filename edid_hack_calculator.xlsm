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C0311DE3-5E97-4ADB-93F0-BA4DB6284C5A}" xr6:coauthVersionLast="47" xr6:coauthVersionMax="47" xr10:uidLastSave="{00000000-0000-0000-0000-000000000000}"/>
  <bookViews>
    <workbookView xWindow="-104" yWindow="-104" windowWidth="44444" windowHeight="23881" activeTab="2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EDID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6" l="1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G21" i="7"/>
  <c r="AF21" i="7"/>
  <c r="X20" i="6"/>
  <c r="W20" i="6"/>
  <c r="AL19" i="6"/>
  <c r="AK19" i="6"/>
  <c r="AI19" i="6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Q8" i="6"/>
  <c r="P8" i="6"/>
  <c r="N8" i="6"/>
  <c r="M8" i="6"/>
  <c r="M5" i="6" s="1"/>
  <c r="L8" i="6"/>
  <c r="I8" i="6"/>
  <c r="H8" i="6"/>
  <c r="G5" i="6" s="1"/>
  <c r="F8" i="6"/>
  <c r="E8" i="6"/>
  <c r="T7" i="6"/>
  <c r="T8" i="6" s="1"/>
  <c r="S7" i="6"/>
  <c r="S8" i="6" s="1"/>
  <c r="S5" i="6" s="1"/>
  <c r="R7" i="6"/>
  <c r="R8" i="6" s="1"/>
  <c r="Q7" i="6"/>
  <c r="O7" i="6"/>
  <c r="O8" i="6" s="1"/>
  <c r="O5" i="6" s="1"/>
  <c r="M7" i="6"/>
  <c r="C5" i="6"/>
  <c r="G24" i="7" a="1"/>
  <c r="G20" i="7" a="1"/>
  <c r="G16" i="7" a="1"/>
  <c r="G17" i="7" a="1"/>
  <c r="G30" i="7" a="1"/>
  <c r="G26" i="7" a="1"/>
  <c r="G22" i="7" a="1"/>
  <c r="G18" i="7" a="1"/>
  <c r="G14" i="7" a="1"/>
  <c r="G29" i="7" a="1"/>
  <c r="G27" i="7" a="1"/>
  <c r="G25" i="7" a="1"/>
  <c r="G23" i="7" a="1"/>
  <c r="G21" i="7" a="1"/>
  <c r="G19" i="7" a="1"/>
  <c r="G15" i="7" a="1"/>
  <c r="AP35" i="7" a="1"/>
  <c r="AP31" i="7" a="1"/>
  <c r="AP9" i="7" a="1"/>
  <c r="AP7" i="7" a="1"/>
  <c r="AP5" i="7" a="1"/>
  <c r="AP36" i="7" a="1"/>
  <c r="AP32" i="7" a="1"/>
  <c r="AP29" i="7" a="1"/>
  <c r="AP27" i="7" a="1"/>
  <c r="AP25" i="7" a="1"/>
  <c r="AP23" i="7" a="1"/>
  <c r="AP21" i="7" a="1"/>
  <c r="AP19" i="7" a="1"/>
  <c r="AP17" i="7" a="1"/>
  <c r="AP15" i="7" a="1"/>
  <c r="AP13" i="7" a="1"/>
  <c r="AP10" i="7" a="1"/>
  <c r="AP6" i="7" a="1"/>
  <c r="AP33" i="7" a="1"/>
  <c r="AP12" i="7" a="1"/>
  <c r="AP11" i="7" a="1"/>
  <c r="AP34" i="7" a="1"/>
  <c r="AP30" i="7" a="1"/>
  <c r="AP28" i="7" a="1"/>
  <c r="AP26" i="7" a="1"/>
  <c r="AP24" i="7" a="1"/>
  <c r="AP22" i="7" a="1"/>
  <c r="AP20" i="7" a="1"/>
  <c r="AP18" i="7" a="1"/>
  <c r="AP16" i="7" a="1"/>
  <c r="AP14" i="7" a="1"/>
  <c r="AP8" i="7" a="1"/>
  <c r="AP35" i="6" a="1"/>
  <c r="AP31" i="6" a="1"/>
  <c r="AP19" i="6" a="1"/>
  <c r="AP17" i="6" a="1"/>
  <c r="AP15" i="6" a="1"/>
  <c r="AP13" i="6" a="1"/>
  <c r="AP10" i="6" a="1"/>
  <c r="AP6" i="6" a="1"/>
  <c r="AP34" i="6" a="1"/>
  <c r="AP20" i="6" a="1"/>
  <c r="G19" i="6" a="1"/>
  <c r="G15" i="6" a="1"/>
  <c r="AP36" i="6" a="1"/>
  <c r="AP32" i="6" a="1"/>
  <c r="AP29" i="6" a="1"/>
  <c r="AP27" i="6" a="1"/>
  <c r="AP25" i="6" a="1"/>
  <c r="AP23" i="6" a="1"/>
  <c r="AP21" i="6" a="1"/>
  <c r="G20" i="6" a="1"/>
  <c r="G18" i="6" a="1"/>
  <c r="G16" i="6" a="1"/>
  <c r="G14" i="6" a="1"/>
  <c r="AP12" i="6" a="1"/>
  <c r="AP11" i="6" a="1"/>
  <c r="AP30" i="6" a="1"/>
  <c r="AP28" i="6" a="1"/>
  <c r="AP26" i="6" a="1"/>
  <c r="AP24" i="6" a="1"/>
  <c r="G17" i="6" a="1"/>
  <c r="AP9" i="6" a="1"/>
  <c r="AP7" i="6" a="1"/>
  <c r="AP5" i="6" a="1"/>
  <c r="AP33" i="6" a="1"/>
  <c r="AP18" i="6" a="1"/>
  <c r="AP16" i="6" a="1"/>
  <c r="AP14" i="6" a="1"/>
  <c r="AP8" i="6" a="1"/>
  <c r="AP22" i="6" a="1"/>
  <c r="G30" i="6" a="1"/>
  <c r="G25" i="6" a="1"/>
  <c r="G21" i="6" a="1"/>
  <c r="G29" i="6" a="1"/>
  <c r="G24" i="6" a="1"/>
  <c r="G28" i="6" a="1"/>
  <c r="G23" i="6" a="1"/>
  <c r="G22" i="6" a="1"/>
  <c r="G15" i="7" l="1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M5" i="7"/>
  <c r="AI21" i="7" s="1"/>
  <c r="O5" i="7"/>
  <c r="AJ21" i="7" s="1"/>
  <c r="Q5" i="7"/>
  <c r="S5" i="7"/>
  <c r="AP8" i="7"/>
  <c r="AN8" i="7" s="1"/>
  <c r="AP14" i="7"/>
  <c r="AN14" i="7" s="1"/>
  <c r="AP16" i="7"/>
  <c r="AN16" i="7" s="1"/>
  <c r="AP18" i="7"/>
  <c r="AN18" i="7" s="1"/>
  <c r="AP20" i="7"/>
  <c r="AN20" i="7" s="1"/>
  <c r="AP22" i="7"/>
  <c r="AN22" i="7" s="1"/>
  <c r="AP24" i="7"/>
  <c r="AN24" i="7" s="1"/>
  <c r="AP26" i="7"/>
  <c r="AN26" i="7" s="1"/>
  <c r="AP28" i="7"/>
  <c r="AN28" i="7" s="1"/>
  <c r="AP30" i="7"/>
  <c r="AN30" i="7" s="1"/>
  <c r="AP34" i="7"/>
  <c r="AN34" i="7" s="1"/>
  <c r="AP11" i="7"/>
  <c r="AN11" i="7" s="1"/>
  <c r="AP12" i="7"/>
  <c r="AN12" i="7" s="1"/>
  <c r="AP33" i="7"/>
  <c r="AN33" i="7" s="1"/>
  <c r="AP6" i="7"/>
  <c r="AN6" i="7" s="1"/>
  <c r="AP10" i="7"/>
  <c r="AN10" i="7" s="1"/>
  <c r="AP13" i="7"/>
  <c r="AN13" i="7" s="1"/>
  <c r="AP15" i="7"/>
  <c r="AN15" i="7" s="1"/>
  <c r="AP17" i="7"/>
  <c r="AN17" i="7" s="1"/>
  <c r="AP19" i="7"/>
  <c r="AN19" i="7" s="1"/>
  <c r="AP21" i="7"/>
  <c r="AN21" i="7" s="1"/>
  <c r="AP23" i="7"/>
  <c r="AN23" i="7" s="1"/>
  <c r="AP25" i="7"/>
  <c r="AN25" i="7" s="1"/>
  <c r="AP27" i="7"/>
  <c r="AN27" i="7" s="1"/>
  <c r="AP29" i="7"/>
  <c r="AN29" i="7" s="1"/>
  <c r="AP32" i="7"/>
  <c r="AN32" i="7" s="1"/>
  <c r="AP36" i="7"/>
  <c r="AN36" i="7" s="1"/>
  <c r="AP5" i="7"/>
  <c r="AN5" i="7" s="1"/>
  <c r="AP7" i="7"/>
  <c r="AN7" i="7" s="1"/>
  <c r="AP9" i="7"/>
  <c r="AN9" i="7" s="1"/>
  <c r="AP31" i="7"/>
  <c r="AN31" i="7" s="1"/>
  <c r="AP35" i="7"/>
  <c r="AN35" i="7" s="1"/>
  <c r="G22" i="6"/>
  <c r="G23" i="6"/>
  <c r="G28" i="6"/>
  <c r="G24" i="6"/>
  <c r="G29" i="6"/>
  <c r="G21" i="6"/>
  <c r="G25" i="6"/>
  <c r="G30" i="6"/>
  <c r="AP22" i="6"/>
  <c r="AN22" i="6" s="1"/>
  <c r="AP8" i="6"/>
  <c r="AN8" i="6" s="1"/>
  <c r="AP14" i="6"/>
  <c r="AN14" i="6" s="1"/>
  <c r="AP16" i="6"/>
  <c r="AN16" i="6" s="1"/>
  <c r="AP18" i="6"/>
  <c r="AN18" i="6" s="1"/>
  <c r="AP33" i="6"/>
  <c r="AN33" i="6" s="1"/>
  <c r="AP5" i="6"/>
  <c r="AN5" i="6" s="1"/>
  <c r="AP7" i="6"/>
  <c r="AN7" i="6" s="1"/>
  <c r="AP9" i="6"/>
  <c r="AN9" i="6" s="1"/>
  <c r="G17" i="6"/>
  <c r="AP24" i="6"/>
  <c r="AN24" i="6" s="1"/>
  <c r="AP26" i="6"/>
  <c r="AN26" i="6" s="1"/>
  <c r="AP28" i="6"/>
  <c r="AN28" i="6" s="1"/>
  <c r="AP30" i="6"/>
  <c r="AN30" i="6" s="1"/>
  <c r="AP11" i="6"/>
  <c r="AN11" i="6" s="1"/>
  <c r="AP12" i="6"/>
  <c r="AN12" i="6" s="1"/>
  <c r="G14" i="6"/>
  <c r="G16" i="6"/>
  <c r="G18" i="6"/>
  <c r="G20" i="6"/>
  <c r="AP21" i="6"/>
  <c r="AN21" i="6" s="1"/>
  <c r="AP23" i="6"/>
  <c r="AN23" i="6" s="1"/>
  <c r="AP25" i="6"/>
  <c r="AN25" i="6" s="1"/>
  <c r="AP27" i="6"/>
  <c r="AN27" i="6" s="1"/>
  <c r="AP29" i="6"/>
  <c r="AN29" i="6" s="1"/>
  <c r="AP32" i="6"/>
  <c r="AN32" i="6" s="1"/>
  <c r="AP36" i="6"/>
  <c r="AN36" i="6" s="1"/>
  <c r="G15" i="6"/>
  <c r="G19" i="6"/>
  <c r="AP20" i="6"/>
  <c r="AN20" i="6" s="1"/>
  <c r="AP34" i="6"/>
  <c r="AN34" i="6" s="1"/>
  <c r="AP6" i="6"/>
  <c r="AN6" i="6" s="1"/>
  <c r="AP10" i="6"/>
  <c r="AN10" i="6" s="1"/>
  <c r="AP13" i="6"/>
  <c r="AN13" i="6" s="1"/>
  <c r="AP15" i="6"/>
  <c r="AN15" i="6" s="1"/>
  <c r="AP17" i="6"/>
  <c r="AN17" i="6" s="1"/>
  <c r="AP19" i="6"/>
  <c r="AN19" i="6" s="1"/>
  <c r="AP31" i="6"/>
  <c r="AN31" i="6" s="1"/>
  <c r="AP35" i="6"/>
  <c r="AN35" i="6" s="1"/>
  <c r="Q5" i="6"/>
  <c r="J8" i="7" l="1"/>
  <c r="J5" i="7" s="1"/>
  <c r="AH21" i="7" s="1"/>
  <c r="C28" i="7" s="1"/>
  <c r="J8" i="6"/>
  <c r="J5" i="6" s="1"/>
  <c r="G28" i="7" a="1"/>
  <c r="G27" i="6" a="1"/>
  <c r="C27" i="6" l="1"/>
  <c r="AJ19" i="6"/>
  <c r="C26" i="6" s="1"/>
  <c r="G28" i="7"/>
  <c r="C12" i="7"/>
  <c r="G27" i="6"/>
  <c r="C12" i="6"/>
  <c r="G26" i="6" a="1"/>
  <c r="C13" i="7" a="1"/>
  <c r="C13" i="6" a="1"/>
  <c r="G26" i="6" l="1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AP35" i="5" a="1"/>
  <c r="AP31" i="5" a="1"/>
  <c r="AP27" i="5" a="1"/>
  <c r="AP23" i="5" a="1"/>
  <c r="AP19" i="5" a="1"/>
  <c r="AP15" i="5" a="1"/>
  <c r="AP14" i="5" a="1"/>
  <c r="AP13" i="5" a="1"/>
  <c r="AP10" i="5" a="1"/>
  <c r="AP6" i="5" a="1"/>
  <c r="AP36" i="5" a="1"/>
  <c r="AP32" i="5" a="1"/>
  <c r="AP28" i="5" a="1"/>
  <c r="AP24" i="5" a="1"/>
  <c r="AP20" i="5" a="1"/>
  <c r="AP16" i="5" a="1"/>
  <c r="AP12" i="5" a="1"/>
  <c r="AP11" i="5" a="1"/>
  <c r="AP33" i="5" a="1"/>
  <c r="AP29" i="5" a="1"/>
  <c r="AP25" i="5" a="1"/>
  <c r="AP21" i="5" a="1"/>
  <c r="AP17" i="5" a="1"/>
  <c r="AP8" i="5" a="1"/>
  <c r="AP34" i="5" a="1"/>
  <c r="AP30" i="5" a="1"/>
  <c r="AP26" i="5" a="1"/>
  <c r="AP22" i="5" a="1"/>
  <c r="AP18" i="5" a="1"/>
  <c r="AP9" i="5" a="1"/>
  <c r="AP7" i="5" a="1"/>
  <c r="AP5" i="5" a="1"/>
  <c r="M5" i="5" l="1"/>
  <c r="AP5" i="5"/>
  <c r="AN5" i="5" s="1"/>
  <c r="AP7" i="5"/>
  <c r="AN7" i="5" s="1"/>
  <c r="AP9" i="5"/>
  <c r="AN9" i="5" s="1"/>
  <c r="AP18" i="5"/>
  <c r="AN18" i="5" s="1"/>
  <c r="AP22" i="5"/>
  <c r="AN22" i="5" s="1"/>
  <c r="AP26" i="5"/>
  <c r="AN26" i="5" s="1"/>
  <c r="AP30" i="5"/>
  <c r="AN30" i="5" s="1"/>
  <c r="AP34" i="5"/>
  <c r="AN34" i="5" s="1"/>
  <c r="AP8" i="5"/>
  <c r="AN8" i="5" s="1"/>
  <c r="AP17" i="5"/>
  <c r="AN17" i="5" s="1"/>
  <c r="AP21" i="5"/>
  <c r="AN21" i="5" s="1"/>
  <c r="AP25" i="5"/>
  <c r="AN25" i="5" s="1"/>
  <c r="AP29" i="5"/>
  <c r="AN29" i="5" s="1"/>
  <c r="AP33" i="5"/>
  <c r="AN33" i="5" s="1"/>
  <c r="AP11" i="5"/>
  <c r="AN11" i="5" s="1"/>
  <c r="AP12" i="5"/>
  <c r="AN12" i="5" s="1"/>
  <c r="AP16" i="5"/>
  <c r="AN16" i="5" s="1"/>
  <c r="AP20" i="5"/>
  <c r="AN20" i="5" s="1"/>
  <c r="AP24" i="5"/>
  <c r="AN24" i="5" s="1"/>
  <c r="AP28" i="5"/>
  <c r="AN28" i="5" s="1"/>
  <c r="AP32" i="5"/>
  <c r="AN32" i="5" s="1"/>
  <c r="AP36" i="5"/>
  <c r="AN36" i="5" s="1"/>
  <c r="AP6" i="5"/>
  <c r="AN6" i="5" s="1"/>
  <c r="AP10" i="5"/>
  <c r="AN10" i="5" s="1"/>
  <c r="AP13" i="5"/>
  <c r="AN13" i="5" s="1"/>
  <c r="AP14" i="5"/>
  <c r="AN14" i="5" s="1"/>
  <c r="AP15" i="5"/>
  <c r="AN15" i="5" s="1"/>
  <c r="AP19" i="5"/>
  <c r="AN19" i="5" s="1"/>
  <c r="AP23" i="5"/>
  <c r="AN23" i="5" s="1"/>
  <c r="AP27" i="5"/>
  <c r="AN27" i="5" s="1"/>
  <c r="AP31" i="5"/>
  <c r="AN31" i="5" s="1"/>
  <c r="AP35" i="5"/>
  <c r="AN35" i="5" s="1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S6" i="1" a="1"/>
  <c r="J6" i="1" a="1"/>
  <c r="D4" i="1" a="1"/>
  <c r="AB6" i="1" a="1"/>
  <c r="AC6" i="1" a="1"/>
  <c r="H6" i="1" a="1"/>
  <c r="I6" i="1" a="1"/>
  <c r="T6" i="1" a="1"/>
  <c r="D7" i="1"/>
  <c r="M6" i="1" a="1"/>
  <c r="D6" i="1" a="1"/>
  <c r="N4" i="1" a="1"/>
  <c r="J7" i="1"/>
  <c r="AG6" i="1" a="1"/>
  <c r="G4" i="1" a="1"/>
  <c r="G6" i="1" a="1"/>
  <c r="F6" i="1" a="1"/>
  <c r="Z6" i="1" a="1"/>
  <c r="G7" i="1"/>
  <c r="H4" i="1" a="1"/>
  <c r="O6" i="1" a="1"/>
  <c r="P6" i="1" a="1"/>
  <c r="W6" i="1" a="1"/>
  <c r="F4" i="1" a="1"/>
  <c r="R6" i="1" a="1"/>
  <c r="C7" i="1"/>
  <c r="AA6" i="1" a="1"/>
  <c r="N6" i="1" a="1"/>
  <c r="Z4" i="1" a="1"/>
  <c r="V7" i="1"/>
  <c r="K6" i="1" a="1"/>
  <c r="Y6" i="1" a="1"/>
  <c r="E6" i="1" a="1"/>
  <c r="N7" i="1"/>
  <c r="V6" i="1" a="1"/>
  <c r="AF6" i="1" a="1"/>
  <c r="AD6" i="1" a="1"/>
  <c r="X6" i="1" a="1"/>
  <c r="F7" i="1"/>
  <c r="C6" i="1" a="1"/>
  <c r="U6" i="1" a="1"/>
  <c r="C4" i="1" a="1"/>
  <c r="AE6" i="1" a="1"/>
  <c r="L6" i="1" a="1"/>
  <c r="AH6" i="1" a="1"/>
  <c r="Q6" i="1" a="1"/>
  <c r="E7" i="1"/>
  <c r="V4" i="1" a="1"/>
  <c r="H7" i="1"/>
  <c r="R4" i="1" a="1"/>
  <c r="C14" i="5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J4" i="1" a="1"/>
  <c r="AC7" i="1"/>
  <c r="M4" i="1" a="1"/>
  <c r="T4" i="1" a="1"/>
  <c r="X7" i="1"/>
  <c r="K4" i="1" a="1"/>
  <c r="Z7" i="1"/>
  <c r="AF7" i="1"/>
  <c r="Q7" i="1"/>
  <c r="Y7" i="1"/>
  <c r="AD4" i="1" a="1"/>
  <c r="Q4" i="1" a="1"/>
  <c r="L7" i="1"/>
  <c r="AD7" i="1"/>
  <c r="I7" i="1"/>
  <c r="L4" i="1" a="1"/>
  <c r="T7" i="1"/>
  <c r="AC4" i="1" a="1"/>
  <c r="K7" i="1"/>
  <c r="AG4" i="1" a="1"/>
  <c r="AB4" i="1" a="1"/>
  <c r="I4" i="1" a="1"/>
  <c r="AH4" i="1" a="1"/>
  <c r="Y4" i="1" a="1"/>
  <c r="O7" i="1"/>
  <c r="AF4" i="1" a="1"/>
  <c r="P4" i="1" a="1"/>
  <c r="S7" i="1"/>
  <c r="U4" i="1" a="1"/>
  <c r="AB7" i="1"/>
  <c r="AE4" i="1" a="1"/>
  <c r="R7" i="1"/>
  <c r="AA7" i="1"/>
  <c r="O4" i="1" a="1"/>
  <c r="P7" i="1"/>
  <c r="U7" i="1"/>
  <c r="W7" i="1"/>
  <c r="AG7" i="1"/>
  <c r="AE7" i="1"/>
  <c r="AA4" i="1" a="1"/>
  <c r="X4" i="1" a="1"/>
  <c r="AH7" i="1"/>
  <c r="S4" i="1" a="1"/>
  <c r="M7" i="1"/>
  <c r="E4" i="1" a="1"/>
  <c r="W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<sst xmlns="http://schemas.openxmlformats.org/spreadsheetml/2006/main" count="1032" uniqueCount="259">
  <si>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</si>
  <si>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</si>
  <si>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</si>
  <si>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</si>
  <si>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</si>
  <si>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</si>
  <si>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</si>
  <si>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</si>
  <si>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</si>
  <si>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</si>
  <si>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</si>
  <si>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</si>
  <si>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</si>
  <si>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</si>
  <si>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</si>
  <si>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</si>
  <si>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</si>
  <si>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</si>
  <si>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</si>
  <si>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</si>
  <si>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</si>
  <si>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</si>
  <si>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</si>
  <si>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</si>
  <si>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</si>
  <si>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</si>
  <si>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</si>
  <si>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</si>
  <si>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</si>
  <si>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</si>
  <si>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</si>
  <si>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</si>
  <si>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</si>
  <si>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</si>
  <si>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</si>
  <si>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</si>
  <si>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</si>
  <si>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</si>
  <si>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</si>
  <si>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</si>
  <si>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</si>
  <si>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</si>
  <si>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</si>
  <si>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</si>
  <si>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</si>
  <si>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</si>
  <si>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</si>
  <si>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</si>
  <si>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</si>
  <si>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</si>
  <si>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</si>
  <si>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</si>
  <si>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</si>
  <si>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</si>
  <si>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</si>
  <si>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</si>
  <si>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</si>
  <si>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</si>
  <si>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</si>
  <si>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</si>
  <si>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</si>
  <si>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</si>
  <si>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</si>
  <si>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</si>
  <si>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</si>
  <si>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</si>
  <si>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</si>
  <si>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</si>
  <si>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</si>
  <si>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</si>
  <si>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</si>
  <si>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</si>
  <si>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</si>
  <si>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</si>
  <si>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</si>
  <si>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</si>
  <si>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</si>
  <si>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</si>
  <si>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</si>
  <si>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</si>
  <si>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</si>
  <si>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</si>
  <si>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</si>
  <si>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</si>
  <si>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</si>
  <si>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</si>
  <si>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</si>
  <si>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</si>
  <si>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</si>
  <si>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</si>
  <si>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</si>
  <si>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</si>
  <si>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</si>
  <si>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</si>
  <si>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</si>
  <si>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</si>
  <si>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</si>
  <si>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</si>
  <si>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</si>
  <si>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</si>
  <si>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</si>
  <si>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</si>
  <si>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</si>
  <si>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</si>
  <si>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</si>
  <si>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</si>
  <si>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</si>
  <si>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</si>
  <si>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</si>
  <si>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</si>
  <si>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</si>
  <si>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</si>
  <si>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</si>
  <si>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</si>
  <si>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</si>
  <si>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</si>
  <si>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</si>
  <si>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</si>
  <si>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</si>
  <si>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</si>
  <si>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</si>
  <si>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</si>
  <si>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</si>
  <si>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</si>
  <si>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</si>
  <si>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</si>
  <si>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</si>
  <si>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</si>
  <si>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</si>
  <si>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</si>
  <si>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</si>
  <si>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</si>
  <si>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</si>
  <si>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</si>
  <si>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</si>
  <si>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</si>
  <si>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</si>
  <si>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</si>
  <si>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</si>
  <si>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</si>
  <si>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</si>
  <si>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</si>
  <si>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</si>
  <si>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</si>
  <si>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</si>
  <si>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</si>
  <si>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</si>
  <si>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</si>
  <si>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</si>
  <si>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</si>
  <si>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</si>
  <si>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</si>
  <si>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</si>
  <si>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</si>
  <si>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</si>
  <si>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</si>
  <si>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</si>
  <si>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</si>
  <si>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</si>
  <si>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</si>
  <si>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</si>
  <si>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</si>
  <si>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</si>
  <si>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</si>
  <si>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</si>
  <si>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c:\exes\ez_dv_edid_fw\dci_p3_10b_vid_change_385ML_v2.hex.txt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</si>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</sst>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</cellXfs>
  <cellStyles count="1">
    <cellStyle name="Normal" xfId="0" builtinId="0"/>
  </cellStyles>
  <dxfs count="12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DCF64D6-281D-417B-913E-266EB0202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1A30D72-6DE6-4C14-9342-2E0793B2C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5F64B26-82F2-48A0-A4A7-087FE8146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36"/>
  <sheetViews>
    <sheetView workbookViewId="0">
      <selection activeCell="B17" sqref="B17"/>
    </sheetView>
  </sheetViews>
  <sheetFormatPr defaultRowHeight="14.4" x14ac:dyDescent="0.3"/>
  <cols>
    <col min="2" max="2" width="15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96" t="str">
        <f>DEC2HEX(_xlfn.BITLSHIFT(BIN2DEC(C8),5)+_xlfn.BITLSHIFT(BIN2DEC(D8),2)+_xlfn.BITLSHIFT(BIN2DEC(E8),1)+BIN2DEC(F8))</f>
        <v>45</v>
      </c>
      <c r="D5" s="96"/>
      <c r="E5" s="96"/>
      <c r="F5" s="97"/>
      <c r="G5" s="98" t="str">
        <f>DEC2HEX(_xlfn.BITLSHIFT(BIN2DEC(G8),3)+_xlfn.BITLSHIFT(BIN2DEC(H8),2)+BIN2DEC(I8),2)</f>
        <v>03</v>
      </c>
      <c r="H5" s="94"/>
      <c r="I5" s="95"/>
      <c r="J5" s="98" t="str">
        <f>DEC2HEX(_xlfn.BITLSHIFT(BIN2DEC(J8),3)+_xlfn.BITLSHIFT(BIN2DEC(K8),1)+BIN2DEC(L8),2)</f>
        <v>48</v>
      </c>
      <c r="K5" s="94"/>
      <c r="L5" s="95"/>
      <c r="M5" s="94" t="str">
        <f>BIN2HEX(_xlfn.CONCAT(M8,N8),2)</f>
        <v>86</v>
      </c>
      <c r="N5" s="95"/>
      <c r="O5" s="94" t="str">
        <f>BIN2HEX(_xlfn.CONCAT(O8,P8),2)</f>
        <v>60</v>
      </c>
      <c r="P5" s="95"/>
      <c r="Q5" s="94" t="str">
        <f>BIN2HEX(_xlfn.CONCAT(Q8,R8),2)</f>
        <v>76</v>
      </c>
      <c r="R5" s="95"/>
      <c r="S5" s="94" t="str">
        <f>BIN2HEX(_xlfn.CONCAT(S8,T8),2)</f>
        <v>8F</v>
      </c>
      <c r="T5" s="95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36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165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EB0146D0004503488660768F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ht="15" thickBot="1" x14ac:dyDescent="0.35">
      <c r="B14" s="92" t="s">
        <v>5</v>
      </c>
      <c r="C14" s="48" t="str">
        <f>_xlfn.CONCAT(":1074A000060501",C$12,"8C",IntelHexChecksum(_xlfn.CONCAT("1074A000060501",C$12,"8C")))</f>
        <v>:1074A000060501EB0146D0004503488660768F8CC7</v>
      </c>
      <c r="D14" s="49"/>
      <c r="E14" s="49"/>
      <c r="F14" s="49"/>
      <c r="G14" s="49"/>
      <c r="H14" s="49"/>
      <c r="I14" s="49"/>
      <c r="J14" s="5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C15" s="1"/>
      <c r="G15" s="91"/>
      <c r="H15" s="91"/>
      <c r="I15" s="91"/>
      <c r="J15" s="91"/>
      <c r="AN15" s="4">
        <f t="shared" ref="AN15:AN42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G16" s="91"/>
      <c r="H16" s="91"/>
      <c r="I16" s="91"/>
      <c r="J16" s="91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7:54" x14ac:dyDescent="0.3">
      <c r="G17" s="91"/>
      <c r="H17" s="91"/>
      <c r="I17" s="91"/>
      <c r="J17" s="91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abSelected="1" zoomScale="90" zoomScaleNormal="90" workbookViewId="0">
      <selection activeCell="F38" sqref="F38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96" t="str">
        <f>DEC2HEX(_xlfn.BITLSHIFT(BIN2DEC(C8),5)+_xlfn.BITLSHIFT(BIN2DEC(D8),2)+_xlfn.BITLSHIFT(BIN2DEC(E8),1)+BIN2DEC(F8))</f>
        <v>45</v>
      </c>
      <c r="D5" s="96"/>
      <c r="E5" s="96"/>
      <c r="F5" s="97"/>
      <c r="G5" s="98" t="str">
        <f>DEC2HEX(_xlfn.BITLSHIFT(BIN2DEC(G8),3)+_xlfn.BITLSHIFT(BIN2DEC(H8),2)+BIN2DEC(I8),2)</f>
        <v>03</v>
      </c>
      <c r="H5" s="94"/>
      <c r="I5" s="95"/>
      <c r="J5" s="98" t="str">
        <f>DEC2HEX(_xlfn.BITLSHIFT(BIN2DEC(J8),3)+_xlfn.BITLSHIFT(BIN2DEC(K8),1)+BIN2DEC(L8),2)</f>
        <v>58</v>
      </c>
      <c r="K5" s="94"/>
      <c r="L5" s="95"/>
      <c r="M5" s="94" t="str">
        <f>BIN2HEX(_xlfn.CONCAT(M8,N8),2)</f>
        <v>86</v>
      </c>
      <c r="N5" s="95"/>
      <c r="O5" s="94" t="str">
        <f>BIN2HEX(_xlfn.CONCAT(O8,P8),2)</f>
        <v>60</v>
      </c>
      <c r="P5" s="95"/>
      <c r="Q5" s="94" t="str">
        <f>BIN2HEX(_xlfn.CONCAT(Q8,R8),2)</f>
        <v>76</v>
      </c>
      <c r="R5" s="95"/>
      <c r="S5" s="94" t="str">
        <f>BIN2HEX(_xlfn.CONCAT(S8,T8),2)</f>
        <v>8F</v>
      </c>
      <c r="T5" s="95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185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192</v>
      </c>
      <c r="X8" s="65" t="s">
        <v>186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187</v>
      </c>
      <c r="AF8" s="65" t="s">
        <v>188</v>
      </c>
      <c r="AG8" s="65" t="s">
        <v>108</v>
      </c>
      <c r="AH8" s="65" t="s">
        <v>131</v>
      </c>
      <c r="AI8" s="65" t="s">
        <v>194</v>
      </c>
      <c r="AJ8" s="65" t="s">
        <v>137</v>
      </c>
      <c r="AK8" s="65" t="s">
        <v>195</v>
      </c>
      <c r="AL8" s="65" t="s">
        <v>192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194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36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258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196</v>
      </c>
      <c r="AA11" s="65" t="s">
        <v>197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196</v>
      </c>
      <c r="AC12" s="65" t="s">
        <v>197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193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189</v>
      </c>
      <c r="AC14" s="65" t="s">
        <v>104</v>
      </c>
      <c r="AD14" s="65" t="s">
        <v>108</v>
      </c>
      <c r="AE14" s="65" t="s">
        <v>190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191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103" t="s">
        <v>244</v>
      </c>
      <c r="Z15" s="65" t="s">
        <v>242</v>
      </c>
      <c r="AA15" s="65" t="s">
        <v>198</v>
      </c>
      <c r="AB15" s="65" t="s">
        <v>199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42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200</v>
      </c>
      <c r="AD16" s="65" t="s">
        <v>72</v>
      </c>
      <c r="AE16" s="65" t="s">
        <v>201</v>
      </c>
      <c r="AF16" s="65" t="s">
        <v>6</v>
      </c>
      <c r="AG16" s="65" t="s">
        <v>76</v>
      </c>
      <c r="AH16" s="65" t="s">
        <v>187</v>
      </c>
      <c r="AI16" s="65" t="s">
        <v>79</v>
      </c>
      <c r="AJ16" s="65" t="s">
        <v>151</v>
      </c>
      <c r="AK16" s="65" t="s">
        <v>202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203</v>
      </c>
      <c r="AB17" s="65" t="s">
        <v>86</v>
      </c>
      <c r="AC17" s="65" t="s">
        <v>122</v>
      </c>
      <c r="AD17" s="65" t="s">
        <v>204</v>
      </c>
      <c r="AE17" s="65" t="s">
        <v>129</v>
      </c>
      <c r="AF17" s="65" t="s">
        <v>190</v>
      </c>
      <c r="AG17" s="65" t="s">
        <v>129</v>
      </c>
      <c r="AH17" s="65" t="s">
        <v>83</v>
      </c>
      <c r="AI17" s="65" t="s">
        <v>196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205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206</v>
      </c>
      <c r="AI18" s="65" t="s">
        <v>207</v>
      </c>
      <c r="AJ18" s="65" t="s">
        <v>187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104" t="s">
        <v>95</v>
      </c>
      <c r="X19" s="104" t="s">
        <v>96</v>
      </c>
      <c r="Y19" s="104" t="s">
        <v>82</v>
      </c>
      <c r="Z19" s="104" t="s">
        <v>116</v>
      </c>
      <c r="AA19" s="104" t="s">
        <v>98</v>
      </c>
      <c r="AB19" s="104" t="s">
        <v>6</v>
      </c>
      <c r="AC19" s="103" t="s">
        <v>208</v>
      </c>
      <c r="AD19" s="103" t="s">
        <v>6</v>
      </c>
      <c r="AE19" s="103" t="s">
        <v>183</v>
      </c>
      <c r="AF19" s="103" t="s">
        <v>120</v>
      </c>
      <c r="AG19" s="103" t="s">
        <v>7</v>
      </c>
      <c r="AH19" s="105" t="str">
        <f>C5</f>
        <v>45</v>
      </c>
      <c r="AI19" s="105" t="str">
        <f>G5</f>
        <v>03</v>
      </c>
      <c r="AJ19" s="105" t="str">
        <f>J5</f>
        <v>58</v>
      </c>
      <c r="AK19" s="105" t="str">
        <f>M5</f>
        <v>86</v>
      </c>
      <c r="AL19" s="105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5" t="str">
        <f>Q5</f>
        <v>76</v>
      </c>
      <c r="X20" s="105" t="str">
        <f>S5</f>
        <v>8F</v>
      </c>
      <c r="Y20" s="104" t="s">
        <v>7</v>
      </c>
      <c r="Z20" s="104" t="s">
        <v>7</v>
      </c>
      <c r="AA20" s="104" t="s">
        <v>7</v>
      </c>
      <c r="AB20" s="104" t="s">
        <v>7</v>
      </c>
      <c r="AC20" s="104" t="s">
        <v>7</v>
      </c>
      <c r="AD20" s="104" t="s">
        <v>7</v>
      </c>
      <c r="AE20" s="104" t="s">
        <v>7</v>
      </c>
      <c r="AF20" s="104" t="s">
        <v>7</v>
      </c>
      <c r="AG20" s="104" t="s">
        <v>7</v>
      </c>
      <c r="AH20" s="104" t="s">
        <v>7</v>
      </c>
      <c r="AI20" s="104" t="s">
        <v>7</v>
      </c>
      <c r="AJ20" s="104" t="s">
        <v>7</v>
      </c>
      <c r="AK20" s="104" t="s">
        <v>7</v>
      </c>
      <c r="AL20" s="104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103" t="s">
        <v>202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101" t="s">
        <v>181</v>
      </c>
      <c r="C30" s="102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9"/>
      <c r="C31" s="100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9"/>
      <c r="C32" s="100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9"/>
      <c r="C33" s="100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9"/>
      <c r="C34" s="100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9"/>
      <c r="C35" s="100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9"/>
      <c r="C36" s="100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9"/>
      <c r="C37" s="100"/>
    </row>
    <row r="38" spans="2:55" x14ac:dyDescent="0.3">
      <c r="B38" s="99"/>
      <c r="C38" s="100"/>
    </row>
    <row r="39" spans="2:55" x14ac:dyDescent="0.3">
      <c r="B39" s="99"/>
      <c r="C39" s="100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M44" sqref="M44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96" t="str">
        <f>DEC2HEX(_xlfn.BITLSHIFT(BIN2DEC(C8),5)+_xlfn.BITLSHIFT(BIN2DEC(D8),2)+_xlfn.BITLSHIFT(BIN2DEC(E8),1)+BIN2DEC(F8))</f>
        <v>45</v>
      </c>
      <c r="D5" s="96"/>
      <c r="E5" s="96"/>
      <c r="F5" s="97"/>
      <c r="G5" s="98" t="str">
        <f>DEC2HEX(_xlfn.BITLSHIFT(BIN2DEC(G8),3)+_xlfn.BITLSHIFT(BIN2DEC(H8),2)+BIN2DEC(I8),2)</f>
        <v>07</v>
      </c>
      <c r="H5" s="94"/>
      <c r="I5" s="95"/>
      <c r="J5" s="98" t="str">
        <f>DEC2HEX(_xlfn.BITLSHIFT(BIN2DEC(J8),3)+_xlfn.BITLSHIFT(BIN2DEC(K8),1)+BIN2DEC(L8),2)</f>
        <v>49</v>
      </c>
      <c r="K5" s="94"/>
      <c r="L5" s="95"/>
      <c r="M5" s="94" t="str">
        <f>BIN2HEX(_xlfn.CONCAT(M8,N8),2)</f>
        <v>57</v>
      </c>
      <c r="N5" s="95"/>
      <c r="O5" s="94" t="str">
        <f>BIN2HEX(_xlfn.CONCAT(O8,P8),2)</f>
        <v>98</v>
      </c>
      <c r="P5" s="95"/>
      <c r="Q5" s="94" t="str">
        <f>BIN2HEX(_xlfn.CONCAT(Q8,R8),2)</f>
        <v>A9</v>
      </c>
      <c r="R5" s="95"/>
      <c r="S5" s="94" t="str">
        <f>BIN2HEX(_xlfn.CONCAT(S8,T8),2)</f>
        <v>53</v>
      </c>
      <c r="T5" s="95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18</v>
      </c>
      <c r="I7" s="17" t="s">
        <v>28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209</v>
      </c>
      <c r="Y7" s="65" t="s">
        <v>209</v>
      </c>
      <c r="Z7" s="65" t="s">
        <v>209</v>
      </c>
      <c r="AA7" s="65" t="s">
        <v>209</v>
      </c>
      <c r="AB7" s="65" t="s">
        <v>209</v>
      </c>
      <c r="AC7" s="65" t="s">
        <v>209</v>
      </c>
      <c r="AD7" s="65" t="s">
        <v>7</v>
      </c>
      <c r="AE7" s="65" t="s">
        <v>130</v>
      </c>
      <c r="AF7" s="65" t="s">
        <v>210</v>
      </c>
      <c r="AG7" s="65" t="s">
        <v>6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253</v>
      </c>
      <c r="X8" s="65" t="s">
        <v>228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211</v>
      </c>
      <c r="AF8" s="65" t="s">
        <v>212</v>
      </c>
      <c r="AG8" s="65" t="s">
        <v>136</v>
      </c>
      <c r="AH8" s="65" t="s">
        <v>210</v>
      </c>
      <c r="AI8" s="65" t="s">
        <v>110</v>
      </c>
      <c r="AJ8" s="65" t="s">
        <v>213</v>
      </c>
      <c r="AK8" s="65" t="s">
        <v>214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213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215</v>
      </c>
      <c r="AE10" s="65" t="s">
        <v>7</v>
      </c>
      <c r="AF10" s="65" t="s">
        <v>147</v>
      </c>
      <c r="AG10" s="65" t="s">
        <v>216</v>
      </c>
      <c r="AH10" s="65" t="s">
        <v>148</v>
      </c>
      <c r="AI10" s="65" t="s">
        <v>217</v>
      </c>
      <c r="AJ10" s="65" t="s">
        <v>114</v>
      </c>
      <c r="AK10" s="65" t="s">
        <v>214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218</v>
      </c>
      <c r="X11" s="65" t="s">
        <v>7</v>
      </c>
      <c r="Y11" s="65" t="s">
        <v>238</v>
      </c>
      <c r="Z11" s="65" t="s">
        <v>241</v>
      </c>
      <c r="AA11" s="65" t="s">
        <v>127</v>
      </c>
      <c r="AB11" s="65" t="s">
        <v>7</v>
      </c>
      <c r="AC11" s="65" t="s">
        <v>7</v>
      </c>
      <c r="AD11" s="65" t="s">
        <v>219</v>
      </c>
      <c r="AE11" s="65" t="s">
        <v>90</v>
      </c>
      <c r="AF11" s="65" t="s">
        <v>220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221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EB0146D0004507495798A953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222</v>
      </c>
      <c r="Y12" s="65" t="s">
        <v>144</v>
      </c>
      <c r="Z12" s="65" t="s">
        <v>7</v>
      </c>
      <c r="AA12" s="65" t="s">
        <v>238</v>
      </c>
      <c r="AB12" s="65" t="s">
        <v>241</v>
      </c>
      <c r="AC12" s="65" t="s">
        <v>127</v>
      </c>
      <c r="AD12" s="65" t="s">
        <v>7</v>
      </c>
      <c r="AE12" s="65" t="s">
        <v>7</v>
      </c>
      <c r="AF12" s="65" t="s">
        <v>219</v>
      </c>
      <c r="AG12" s="65" t="s">
        <v>7</v>
      </c>
      <c r="AH12" s="65" t="s">
        <v>7</v>
      </c>
      <c r="AI12" s="65" t="s">
        <v>7</v>
      </c>
      <c r="AJ12" s="65" t="s">
        <v>223</v>
      </c>
      <c r="AK12" s="65" t="s">
        <v>7</v>
      </c>
      <c r="AL12" s="65" t="s">
        <v>254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58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134</v>
      </c>
      <c r="X13" s="65" t="s">
        <v>221</v>
      </c>
      <c r="Y13" s="65" t="s">
        <v>92</v>
      </c>
      <c r="Z13" s="65" t="s">
        <v>108</v>
      </c>
      <c r="AA13" s="65" t="s">
        <v>147</v>
      </c>
      <c r="AB13" s="65" t="s">
        <v>147</v>
      </c>
      <c r="AC13" s="65" t="s">
        <v>159</v>
      </c>
      <c r="AD13" s="65" t="s">
        <v>211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224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:1073D000008600FFFFFFFFFFFF0034A301000100</v>
      </c>
      <c r="D14" s="41"/>
      <c r="E14" s="41"/>
      <c r="F14" s="41"/>
      <c r="G14" s="41" t="str" cm="1">
        <f t="array" ref="G14">IntelHexChecksum(RIGHT(C14,40))</f>
        <v>54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245</v>
      </c>
      <c r="Y14" s="65" t="s">
        <v>183</v>
      </c>
      <c r="Z14" s="65" t="s">
        <v>228</v>
      </c>
      <c r="AA14" s="65" t="s">
        <v>239</v>
      </c>
      <c r="AB14" s="65" t="s">
        <v>226</v>
      </c>
      <c r="AC14" s="65" t="s">
        <v>7</v>
      </c>
      <c r="AD14" s="65" t="s">
        <v>211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255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:1073E0000000171F0103807341780ACF74A3574C</v>
      </c>
      <c r="D15" s="41"/>
      <c r="E15" s="41"/>
      <c r="F15" s="41"/>
      <c r="G15" s="41" t="str" cm="1">
        <f t="array" ref="G15">IntelHexChecksum(RIGHT(C15,40))</f>
        <v>24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103" t="s">
        <v>148</v>
      </c>
      <c r="Z15" s="65" t="s">
        <v>246</v>
      </c>
      <c r="AA15" s="65" t="s">
        <v>247</v>
      </c>
      <c r="AB15" s="65" t="s">
        <v>6</v>
      </c>
      <c r="AC15" s="65" t="s">
        <v>90</v>
      </c>
      <c r="AD15" s="65" t="s">
        <v>91</v>
      </c>
      <c r="AE15" s="65" t="s">
        <v>97</v>
      </c>
      <c r="AF15" s="65" t="s">
        <v>98</v>
      </c>
      <c r="AG15" s="65" t="s">
        <v>99</v>
      </c>
      <c r="AH15" s="65" t="s">
        <v>199</v>
      </c>
      <c r="AI15" s="65" t="s">
        <v>100</v>
      </c>
      <c r="AJ15" s="65" t="s">
        <v>101</v>
      </c>
      <c r="AK15" s="65" t="s">
        <v>102</v>
      </c>
      <c r="AL15" s="65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:1073F000B02309484C0000000101010101010101</v>
      </c>
      <c r="D16" s="41"/>
      <c r="E16" s="41"/>
      <c r="F16" s="41"/>
      <c r="G16" s="41" t="str" cm="1">
        <f t="array" ref="G16">IntelHexChecksum(RIGHT(C16,40))</f>
        <v>15</v>
      </c>
      <c r="H16" s="41"/>
      <c r="I16" s="41"/>
      <c r="J16" s="46"/>
      <c r="V16" s="65"/>
      <c r="W16" s="65" t="s">
        <v>228</v>
      </c>
      <c r="X16" s="65" t="s">
        <v>104</v>
      </c>
      <c r="Y16" s="65" t="s">
        <v>127</v>
      </c>
      <c r="Z16" s="65" t="s">
        <v>105</v>
      </c>
      <c r="AA16" s="65" t="s">
        <v>226</v>
      </c>
      <c r="AB16" s="65" t="s">
        <v>230</v>
      </c>
      <c r="AC16" s="65" t="s">
        <v>240</v>
      </c>
      <c r="AD16" s="65" t="s">
        <v>227</v>
      </c>
      <c r="AE16" s="65" t="s">
        <v>248</v>
      </c>
      <c r="AF16" s="65" t="s">
        <v>231</v>
      </c>
      <c r="AG16" s="65" t="s">
        <v>94</v>
      </c>
      <c r="AH16" s="65" t="s">
        <v>93</v>
      </c>
      <c r="AI16" s="65" t="s">
        <v>201</v>
      </c>
      <c r="AJ16" s="65" t="s">
        <v>197</v>
      </c>
      <c r="AK16" s="65" t="s">
        <v>256</v>
      </c>
      <c r="AL16" s="65" t="s">
        <v>95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96</v>
      </c>
      <c r="X17" s="65" t="s">
        <v>249</v>
      </c>
      <c r="Y17" s="65" t="s">
        <v>140</v>
      </c>
      <c r="Z17" s="65" t="s">
        <v>229</v>
      </c>
      <c r="AA17" s="65" t="s">
        <v>99</v>
      </c>
      <c r="AB17" s="65" t="s">
        <v>109</v>
      </c>
      <c r="AC17" s="65" t="s">
        <v>99</v>
      </c>
      <c r="AD17" s="65" t="s">
        <v>108</v>
      </c>
      <c r="AE17" s="65" t="s">
        <v>110</v>
      </c>
      <c r="AF17" s="65" t="s">
        <v>116</v>
      </c>
      <c r="AG17" s="65" t="s">
        <v>7</v>
      </c>
      <c r="AH17" s="65" t="s">
        <v>230</v>
      </c>
      <c r="AI17" s="65" t="s">
        <v>99</v>
      </c>
      <c r="AJ17" s="65" t="s">
        <v>234</v>
      </c>
      <c r="AK17" s="65" t="s">
        <v>231</v>
      </c>
      <c r="AL17" s="65" t="s">
        <v>232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6</v>
      </c>
      <c r="X18" s="65" t="s">
        <v>112</v>
      </c>
      <c r="Y18" s="65" t="s">
        <v>6</v>
      </c>
      <c r="Z18" s="65" t="s">
        <v>7</v>
      </c>
      <c r="AA18" s="65" t="s">
        <v>7</v>
      </c>
      <c r="AB18" s="65" t="s">
        <v>236</v>
      </c>
      <c r="AC18" s="65" t="s">
        <v>7</v>
      </c>
      <c r="AD18" s="65" t="s">
        <v>209</v>
      </c>
      <c r="AE18" s="65" t="s">
        <v>243</v>
      </c>
      <c r="AF18" s="65" t="s">
        <v>91</v>
      </c>
      <c r="AG18" s="65" t="s">
        <v>235</v>
      </c>
      <c r="AH18" s="65" t="s">
        <v>7</v>
      </c>
      <c r="AI18" s="65" t="s">
        <v>29</v>
      </c>
      <c r="AJ18" s="65" t="s">
        <v>7</v>
      </c>
      <c r="AK18" s="65" t="s">
        <v>115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65" t="s">
        <v>104</v>
      </c>
      <c r="X19" s="65" t="s">
        <v>234</v>
      </c>
      <c r="Y19" s="65" t="s">
        <v>196</v>
      </c>
      <c r="Z19" s="65" t="s">
        <v>6</v>
      </c>
      <c r="AA19" s="65" t="s">
        <v>90</v>
      </c>
      <c r="AB19" s="65" t="s">
        <v>91</v>
      </c>
      <c r="AC19" s="65" t="s">
        <v>97</v>
      </c>
      <c r="AD19" s="65" t="s">
        <v>6</v>
      </c>
      <c r="AE19" s="65" t="s">
        <v>157</v>
      </c>
      <c r="AF19" s="65" t="s">
        <v>7</v>
      </c>
      <c r="AG19" s="65" t="s">
        <v>7</v>
      </c>
      <c r="AH19" s="65" t="s">
        <v>111</v>
      </c>
      <c r="AI19" s="65" t="s">
        <v>237</v>
      </c>
      <c r="AJ19" s="65" t="s">
        <v>227</v>
      </c>
      <c r="AK19" s="65" t="s">
        <v>238</v>
      </c>
      <c r="AL19" s="65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:107430000056412D53503030330A202020200000</v>
      </c>
      <c r="D20" s="41"/>
      <c r="E20" s="41"/>
      <c r="F20" s="41"/>
      <c r="G20" s="41" t="str" cm="1">
        <f t="array" ref="G20">IntelHexChecksum(RIGHT(C20,40))</f>
        <v>C8</v>
      </c>
      <c r="H20" s="41"/>
      <c r="I20" s="41"/>
      <c r="J20" s="46"/>
      <c r="V20" s="65"/>
      <c r="W20" s="65" t="s">
        <v>115</v>
      </c>
      <c r="X20" s="65" t="s">
        <v>114</v>
      </c>
      <c r="Y20" s="65" t="s">
        <v>99</v>
      </c>
      <c r="Z20" s="65" t="s">
        <v>233</v>
      </c>
      <c r="AA20" s="65" t="s">
        <v>98</v>
      </c>
      <c r="AB20" s="65" t="s">
        <v>250</v>
      </c>
      <c r="AC20" s="65" t="s">
        <v>6</v>
      </c>
      <c r="AD20" s="65" t="s">
        <v>251</v>
      </c>
      <c r="AE20" s="65" t="s">
        <v>225</v>
      </c>
      <c r="AF20" s="65" t="s">
        <v>7</v>
      </c>
      <c r="AG20" s="65" t="s">
        <v>7</v>
      </c>
      <c r="AH20" s="65" t="s">
        <v>94</v>
      </c>
      <c r="AI20" s="65" t="s">
        <v>7</v>
      </c>
      <c r="AJ20" s="65" t="s">
        <v>252</v>
      </c>
      <c r="AK20" s="65" t="s">
        <v>116</v>
      </c>
      <c r="AL20" s="65" t="s">
        <v>225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6</v>
      </c>
      <c r="X21" s="65" t="s">
        <v>7</v>
      </c>
      <c r="Y21" s="65" t="s">
        <v>7</v>
      </c>
      <c r="Z21" s="65" t="s">
        <v>7</v>
      </c>
      <c r="AA21" s="103" t="s">
        <v>182</v>
      </c>
      <c r="AB21" s="103" t="s">
        <v>6</v>
      </c>
      <c r="AC21" s="103" t="s">
        <v>183</v>
      </c>
      <c r="AD21" s="103" t="s">
        <v>184</v>
      </c>
      <c r="AE21" s="103" t="s">
        <v>7</v>
      </c>
      <c r="AF21" s="105" t="str">
        <f>C5</f>
        <v>45</v>
      </c>
      <c r="AG21" s="105" t="str">
        <f>G5</f>
        <v>07</v>
      </c>
      <c r="AH21" s="105" t="str">
        <f>J5</f>
        <v>49</v>
      </c>
      <c r="AI21" s="105" t="str">
        <f>M5</f>
        <v>57</v>
      </c>
      <c r="AJ21" s="105" t="str">
        <f>O5</f>
        <v>98</v>
      </c>
      <c r="AK21" s="105" t="str">
        <f>Q5</f>
        <v>A9</v>
      </c>
      <c r="AL21" s="105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:107450000147020370F15C010203040507901213</v>
      </c>
      <c r="D22" s="41"/>
      <c r="E22" s="41"/>
      <c r="F22" s="41"/>
      <c r="G22" s="41" t="str" cm="1">
        <f t="array" ref="G22">IntelHexChecksum(RIGHT(C22,40))</f>
        <v>57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103" t="s">
        <v>255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:1074600014161F2021223C3D3E5D5E5F60616263</v>
      </c>
      <c r="D23" s="41"/>
      <c r="E23" s="41"/>
      <c r="F23" s="41"/>
      <c r="G23" s="41" t="str" cm="1">
        <f t="array" ref="G23">IntelHexChecksum(RIGHT(C23,40))</f>
        <v>19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:107470006465662F097F071507505706003D07C0</v>
      </c>
      <c r="D24" s="41"/>
      <c r="E24" s="41"/>
      <c r="F24" s="41"/>
      <c r="G24" s="41" t="str" cm="1">
        <f t="array" ref="G24">IntelHexChecksum(RIGHT(C24,40))</f>
        <v>52</v>
      </c>
      <c r="H24" s="41"/>
      <c r="I24" s="41"/>
      <c r="J24" s="46"/>
      <c r="Y24" s="65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:107480005F7E0183010000E200FF72030C001000</v>
      </c>
      <c r="D25" s="41"/>
      <c r="E25" s="41"/>
      <c r="F25" s="41"/>
      <c r="G25" s="41" t="str" cm="1">
        <f t="array" ref="G25">IntelHexChecksum(RIGHT(C25,40))</f>
        <v>28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:10749000787820C084010203040143000067D85D</v>
      </c>
      <c r="D26" s="41"/>
      <c r="E26" s="41"/>
      <c r="F26" s="41"/>
      <c r="G26" s="41" t="str" cm="1">
        <f t="array" ref="G26">IntelHexChecksum(RIGHT(C26,40))</f>
        <v>AE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:1074A000C401788007E305DF01E50F00006000E6</v>
      </c>
      <c r="D27" s="41"/>
      <c r="E27" s="41"/>
      <c r="F27" s="41"/>
      <c r="G27" s="41" t="str" cm="1">
        <f t="array" ref="G27">IntelHexChecksum(RIGHT(C27,40))</f>
        <v>16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:1074B000060F01000000EB0146D0004507495798</v>
      </c>
      <c r="D28" s="41"/>
      <c r="E28" s="41"/>
      <c r="F28" s="41"/>
      <c r="G28" s="41" t="str" cm="1">
        <f t="array" ref="G28">IntelHexChecksum(RIGHT(C28,40))</f>
        <v>30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:1074C000A9530000000000000000000000000000</v>
      </c>
      <c r="D29" s="41"/>
      <c r="E29" s="41"/>
      <c r="F29" s="41"/>
      <c r="G29" s="41" t="str" cm="1">
        <f t="array" ref="G29">IntelHexChecksum(RIGHT(C29,40))</f>
        <v>C0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101" t="s">
        <v>181</v>
      </c>
      <c r="C30" s="102" t="str">
        <f>_xlfn.CONCAT(":10",RIGHT(B30,4),"00",AK22:AL22,"00FFFFFFFFFFFF00371801000100")</f>
        <v>:1074D000004700FFFFFFFFFFFF00371801000100</v>
      </c>
      <c r="D30" s="49"/>
      <c r="E30" s="49"/>
      <c r="F30" s="49"/>
      <c r="G30" s="49" t="str" cm="1">
        <f t="array" ref="G30">IntelHexChecksum(RIGHT(C30,40))</f>
        <v>1A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9"/>
      <c r="C31" s="100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9"/>
      <c r="C32" s="100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4" x14ac:dyDescent="0.3">
      <c r="B33" s="99"/>
      <c r="C33" s="100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4" x14ac:dyDescent="0.3">
      <c r="B34" s="99"/>
      <c r="C34" s="100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4" x14ac:dyDescent="0.3">
      <c r="B35" s="99"/>
      <c r="C35" s="100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4" x14ac:dyDescent="0.3">
      <c r="B36" s="99"/>
      <c r="C36" s="100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4" x14ac:dyDescent="0.3">
      <c r="B37" s="99"/>
      <c r="C37" s="100"/>
    </row>
    <row r="38" spans="2:54" x14ac:dyDescent="0.3">
      <c r="B38" s="99"/>
      <c r="C38" s="100"/>
    </row>
    <row r="39" spans="2:54" x14ac:dyDescent="0.3">
      <c r="B39" s="99"/>
      <c r="C39" s="100"/>
    </row>
    <row r="40" spans="2:54" x14ac:dyDescent="0.3"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2:54" x14ac:dyDescent="0.3"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</row>
    <row r="42" spans="2:54" x14ac:dyDescent="0.3"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</row>
    <row r="43" spans="2:54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</row>
    <row r="44" spans="2:54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</row>
    <row r="45" spans="2:54" x14ac:dyDescent="0.3"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</row>
    <row r="46" spans="2:54" x14ac:dyDescent="0.3"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</row>
    <row r="47" spans="2:54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</row>
    <row r="48" spans="2:54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2:18" x14ac:dyDescent="0.3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2:18" x14ac:dyDescent="0.3"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</row>
    <row r="4" spans="2:18" x14ac:dyDescent="0.3">
      <c r="B4" s="67" t="s">
        <v>163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2:18" ht="15" thickBot="1" x14ac:dyDescent="0.35"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2:18" ht="15" thickBot="1" x14ac:dyDescent="0.35">
      <c r="C6" s="86">
        <v>0</v>
      </c>
      <c r="D6" s="87">
        <v>1</v>
      </c>
      <c r="E6" s="87">
        <v>2</v>
      </c>
      <c r="F6" s="87">
        <v>3</v>
      </c>
      <c r="G6" s="87">
        <v>4</v>
      </c>
      <c r="H6" s="87">
        <v>5</v>
      </c>
      <c r="I6" s="87">
        <v>6</v>
      </c>
      <c r="J6" s="87">
        <v>7</v>
      </c>
      <c r="K6" s="87">
        <v>8</v>
      </c>
      <c r="L6" s="87">
        <v>9</v>
      </c>
      <c r="M6" s="87">
        <v>10</v>
      </c>
      <c r="N6" s="87">
        <v>11</v>
      </c>
      <c r="O6" s="87">
        <v>12</v>
      </c>
      <c r="P6" s="87">
        <v>13</v>
      </c>
      <c r="Q6" s="87">
        <v>14</v>
      </c>
      <c r="R6" s="88">
        <v>15</v>
      </c>
    </row>
    <row r="7" spans="2:18" ht="15" thickBot="1" x14ac:dyDescent="0.35">
      <c r="B7" s="67" t="s">
        <v>70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2:18" s="65" customFormat="1" x14ac:dyDescent="0.3">
      <c r="C8" s="68" t="s">
        <v>7</v>
      </c>
      <c r="D8" s="69" t="s">
        <v>129</v>
      </c>
      <c r="E8" s="69" t="s">
        <v>129</v>
      </c>
      <c r="F8" s="69" t="s">
        <v>129</v>
      </c>
      <c r="G8" s="69" t="s">
        <v>129</v>
      </c>
      <c r="H8" s="69" t="s">
        <v>129</v>
      </c>
      <c r="I8" s="69" t="s">
        <v>129</v>
      </c>
      <c r="J8" s="69" t="s">
        <v>7</v>
      </c>
      <c r="K8" s="69" t="s">
        <v>130</v>
      </c>
      <c r="L8" s="69" t="s">
        <v>131</v>
      </c>
      <c r="M8" s="69" t="s">
        <v>6</v>
      </c>
      <c r="N8" s="69" t="s">
        <v>7</v>
      </c>
      <c r="O8" s="69" t="s">
        <v>6</v>
      </c>
      <c r="P8" s="69" t="s">
        <v>7</v>
      </c>
      <c r="Q8" s="69" t="s">
        <v>7</v>
      </c>
      <c r="R8" s="70" t="s">
        <v>7</v>
      </c>
    </row>
    <row r="9" spans="2:18" s="65" customFormat="1" x14ac:dyDescent="0.3">
      <c r="C9" s="71" t="s">
        <v>97</v>
      </c>
      <c r="D9" s="72" t="s">
        <v>132</v>
      </c>
      <c r="E9" s="72" t="s">
        <v>6</v>
      </c>
      <c r="F9" s="72" t="s">
        <v>91</v>
      </c>
      <c r="G9" s="72" t="s">
        <v>114</v>
      </c>
      <c r="H9" s="72" t="s">
        <v>133</v>
      </c>
      <c r="I9" s="72" t="s">
        <v>134</v>
      </c>
      <c r="J9" s="72" t="s">
        <v>115</v>
      </c>
      <c r="K9" s="72" t="s">
        <v>119</v>
      </c>
      <c r="L9" s="72" t="s">
        <v>135</v>
      </c>
      <c r="M9" s="72" t="s">
        <v>136</v>
      </c>
      <c r="N9" s="72" t="s">
        <v>131</v>
      </c>
      <c r="O9" s="72" t="s">
        <v>110</v>
      </c>
      <c r="P9" s="72" t="s">
        <v>137</v>
      </c>
      <c r="Q9" s="72" t="s">
        <v>138</v>
      </c>
      <c r="R9" s="73" t="s">
        <v>139</v>
      </c>
    </row>
    <row r="10" spans="2:18" s="65" customFormat="1" x14ac:dyDescent="0.3">
      <c r="C10" s="71" t="s">
        <v>140</v>
      </c>
      <c r="D10" s="72" t="s">
        <v>141</v>
      </c>
      <c r="E10" s="72" t="s">
        <v>137</v>
      </c>
      <c r="F10" s="72" t="s">
        <v>127</v>
      </c>
      <c r="G10" s="72" t="s">
        <v>142</v>
      </c>
      <c r="H10" s="72" t="s">
        <v>7</v>
      </c>
      <c r="I10" s="72" t="s">
        <v>143</v>
      </c>
      <c r="J10" s="72" t="s">
        <v>114</v>
      </c>
      <c r="K10" s="72" t="s">
        <v>144</v>
      </c>
      <c r="L10" s="72" t="s">
        <v>106</v>
      </c>
      <c r="M10" s="72" t="s">
        <v>93</v>
      </c>
      <c r="N10" s="72" t="s">
        <v>106</v>
      </c>
      <c r="O10" s="72" t="s">
        <v>145</v>
      </c>
      <c r="P10" s="72" t="s">
        <v>7</v>
      </c>
      <c r="Q10" s="72" t="s">
        <v>6</v>
      </c>
      <c r="R10" s="73" t="s">
        <v>6</v>
      </c>
    </row>
    <row r="11" spans="2:18" s="65" customFormat="1" x14ac:dyDescent="0.3">
      <c r="C11" s="71" t="s">
        <v>6</v>
      </c>
      <c r="D11" s="72" t="s">
        <v>6</v>
      </c>
      <c r="E11" s="72" t="s">
        <v>6</v>
      </c>
      <c r="F11" s="72" t="s">
        <v>6</v>
      </c>
      <c r="G11" s="72" t="s">
        <v>6</v>
      </c>
      <c r="H11" s="72" t="s">
        <v>6</v>
      </c>
      <c r="I11" s="72" t="s">
        <v>142</v>
      </c>
      <c r="J11" s="72" t="s">
        <v>146</v>
      </c>
      <c r="K11" s="72" t="s">
        <v>7</v>
      </c>
      <c r="L11" s="72" t="s">
        <v>147</v>
      </c>
      <c r="M11" s="72" t="s">
        <v>73</v>
      </c>
      <c r="N11" s="72" t="s">
        <v>148</v>
      </c>
      <c r="O11" s="72" t="s">
        <v>149</v>
      </c>
      <c r="P11" s="72" t="s">
        <v>114</v>
      </c>
      <c r="Q11" s="72" t="s">
        <v>138</v>
      </c>
      <c r="R11" s="73" t="s">
        <v>150</v>
      </c>
    </row>
    <row r="12" spans="2:18" s="65" customFormat="1" x14ac:dyDescent="0.3">
      <c r="C12" s="71" t="s">
        <v>121</v>
      </c>
      <c r="D12" s="72" t="s">
        <v>7</v>
      </c>
      <c r="E12" s="72" t="s">
        <v>108</v>
      </c>
      <c r="F12" s="72" t="s">
        <v>151</v>
      </c>
      <c r="G12" s="72" t="s">
        <v>136</v>
      </c>
      <c r="H12" s="72" t="s">
        <v>7</v>
      </c>
      <c r="I12" s="72" t="s">
        <v>7</v>
      </c>
      <c r="J12" s="72" t="s">
        <v>79</v>
      </c>
      <c r="K12" s="72" t="s">
        <v>90</v>
      </c>
      <c r="L12" s="72" t="s">
        <v>152</v>
      </c>
      <c r="M12" s="72" t="s">
        <v>114</v>
      </c>
      <c r="N12" s="72" t="s">
        <v>128</v>
      </c>
      <c r="O12" s="72" t="s">
        <v>153</v>
      </c>
      <c r="P12" s="72" t="s">
        <v>113</v>
      </c>
      <c r="Q12" s="72" t="s">
        <v>123</v>
      </c>
      <c r="R12" s="73" t="s">
        <v>106</v>
      </c>
    </row>
    <row r="13" spans="2:18" s="65" customFormat="1" x14ac:dyDescent="0.3">
      <c r="C13" s="71" t="s">
        <v>150</v>
      </c>
      <c r="D13" s="72" t="s">
        <v>154</v>
      </c>
      <c r="E13" s="72" t="s">
        <v>144</v>
      </c>
      <c r="F13" s="72" t="s">
        <v>7</v>
      </c>
      <c r="G13" s="72" t="s">
        <v>108</v>
      </c>
      <c r="H13" s="72" t="s">
        <v>151</v>
      </c>
      <c r="I13" s="72" t="s">
        <v>136</v>
      </c>
      <c r="J13" s="72" t="s">
        <v>7</v>
      </c>
      <c r="K13" s="72" t="s">
        <v>7</v>
      </c>
      <c r="L13" s="72" t="s">
        <v>79</v>
      </c>
      <c r="M13" s="72" t="s">
        <v>7</v>
      </c>
      <c r="N13" s="72" t="s">
        <v>7</v>
      </c>
      <c r="O13" s="72" t="s">
        <v>7</v>
      </c>
      <c r="P13" s="72" t="s">
        <v>155</v>
      </c>
      <c r="Q13" s="72" t="s">
        <v>7</v>
      </c>
      <c r="R13" s="73" t="s">
        <v>156</v>
      </c>
    </row>
    <row r="14" spans="2:18" s="65" customFormat="1" x14ac:dyDescent="0.3">
      <c r="C14" s="71" t="s">
        <v>144</v>
      </c>
      <c r="D14" s="72" t="s">
        <v>157</v>
      </c>
      <c r="E14" s="72" t="s">
        <v>123</v>
      </c>
      <c r="F14" s="72" t="s">
        <v>158</v>
      </c>
      <c r="G14" s="72" t="s">
        <v>123</v>
      </c>
      <c r="H14" s="72" t="s">
        <v>159</v>
      </c>
      <c r="I14" s="72" t="s">
        <v>123</v>
      </c>
      <c r="J14" s="72" t="s">
        <v>141</v>
      </c>
      <c r="K14" s="72" t="s">
        <v>119</v>
      </c>
      <c r="L14" s="72" t="s">
        <v>104</v>
      </c>
      <c r="M14" s="72" t="s">
        <v>104</v>
      </c>
      <c r="N14" s="72" t="s">
        <v>104</v>
      </c>
      <c r="O14" s="72" t="s">
        <v>7</v>
      </c>
      <c r="P14" s="72" t="s">
        <v>7</v>
      </c>
      <c r="Q14" s="72" t="s">
        <v>7</v>
      </c>
      <c r="R14" s="73" t="s">
        <v>160</v>
      </c>
    </row>
    <row r="15" spans="2:18" s="65" customFormat="1" ht="15" thickBot="1" x14ac:dyDescent="0.35">
      <c r="C15" s="74" t="s">
        <v>7</v>
      </c>
      <c r="D15" s="75" t="s">
        <v>128</v>
      </c>
      <c r="E15" s="75" t="s">
        <v>161</v>
      </c>
      <c r="F15" s="75" t="s">
        <v>76</v>
      </c>
      <c r="G15" s="75" t="s">
        <v>162</v>
      </c>
      <c r="H15" s="75" t="s">
        <v>86</v>
      </c>
      <c r="I15" s="75" t="s">
        <v>7</v>
      </c>
      <c r="J15" s="75" t="s">
        <v>119</v>
      </c>
      <c r="K15" s="75" t="s">
        <v>104</v>
      </c>
      <c r="L15" s="75" t="s">
        <v>104</v>
      </c>
      <c r="M15" s="75" t="s">
        <v>104</v>
      </c>
      <c r="N15" s="75" t="s">
        <v>104</v>
      </c>
      <c r="O15" s="75" t="s">
        <v>104</v>
      </c>
      <c r="P15" s="75" t="s">
        <v>104</v>
      </c>
      <c r="Q15" s="75" t="s">
        <v>6</v>
      </c>
      <c r="R15" s="76" t="s">
        <v>141</v>
      </c>
    </row>
    <row r="16" spans="2:18" s="65" customFormat="1" x14ac:dyDescent="0.3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s="65" customFormat="1" x14ac:dyDescent="0.3"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</row>
    <row r="18" spans="2:18" ht="15" thickBot="1" x14ac:dyDescent="0.35">
      <c r="B18" s="67" t="s">
        <v>71</v>
      </c>
    </row>
    <row r="19" spans="2:18" s="65" customFormat="1" x14ac:dyDescent="0.3">
      <c r="C19" s="78" t="s">
        <v>90</v>
      </c>
      <c r="D19" s="79" t="s">
        <v>91</v>
      </c>
      <c r="E19" s="79" t="s">
        <v>72</v>
      </c>
      <c r="F19" s="79" t="s">
        <v>73</v>
      </c>
      <c r="G19" s="79" t="s">
        <v>92</v>
      </c>
      <c r="H19" s="79" t="s">
        <v>93</v>
      </c>
      <c r="I19" s="79" t="s">
        <v>94</v>
      </c>
      <c r="J19" s="79" t="s">
        <v>95</v>
      </c>
      <c r="K19" s="79" t="s">
        <v>96</v>
      </c>
      <c r="L19" s="79" t="s">
        <v>6</v>
      </c>
      <c r="M19" s="79" t="s">
        <v>91</v>
      </c>
      <c r="N19" s="79" t="s">
        <v>97</v>
      </c>
      <c r="O19" s="79" t="s">
        <v>98</v>
      </c>
      <c r="P19" s="79" t="s">
        <v>99</v>
      </c>
      <c r="Q19" s="79" t="s">
        <v>29</v>
      </c>
      <c r="R19" s="80" t="s">
        <v>100</v>
      </c>
    </row>
    <row r="20" spans="2:18" s="65" customFormat="1" x14ac:dyDescent="0.3">
      <c r="C20" s="81" t="s">
        <v>101</v>
      </c>
      <c r="D20" s="82" t="s">
        <v>102</v>
      </c>
      <c r="E20" s="82" t="s">
        <v>103</v>
      </c>
      <c r="F20" s="82" t="s">
        <v>74</v>
      </c>
      <c r="G20" s="82" t="s">
        <v>104</v>
      </c>
      <c r="H20" s="82" t="s">
        <v>105</v>
      </c>
      <c r="I20" s="82" t="s">
        <v>75</v>
      </c>
      <c r="J20" s="82" t="s">
        <v>106</v>
      </c>
      <c r="K20" s="82" t="s">
        <v>107</v>
      </c>
      <c r="L20" s="82" t="s">
        <v>76</v>
      </c>
      <c r="M20" s="82" t="s">
        <v>77</v>
      </c>
      <c r="N20" s="82" t="s">
        <v>99</v>
      </c>
      <c r="O20" s="82" t="s">
        <v>78</v>
      </c>
      <c r="P20" s="82" t="s">
        <v>79</v>
      </c>
      <c r="Q20" s="82" t="s">
        <v>108</v>
      </c>
      <c r="R20" s="83" t="s">
        <v>109</v>
      </c>
    </row>
    <row r="21" spans="2:18" s="65" customFormat="1" x14ac:dyDescent="0.3">
      <c r="C21" s="81" t="s">
        <v>99</v>
      </c>
      <c r="D21" s="82" t="s">
        <v>108</v>
      </c>
      <c r="E21" s="82" t="s">
        <v>80</v>
      </c>
      <c r="F21" s="82" t="s">
        <v>81</v>
      </c>
      <c r="G21" s="82" t="s">
        <v>6</v>
      </c>
      <c r="H21" s="82" t="s">
        <v>110</v>
      </c>
      <c r="I21" s="82" t="s">
        <v>99</v>
      </c>
      <c r="J21" s="82" t="s">
        <v>6</v>
      </c>
      <c r="K21" s="82" t="s">
        <v>111</v>
      </c>
      <c r="L21" s="82" t="s">
        <v>81</v>
      </c>
      <c r="M21" s="82" t="s">
        <v>91</v>
      </c>
      <c r="N21" s="82" t="s">
        <v>112</v>
      </c>
      <c r="O21" s="82" t="s">
        <v>80</v>
      </c>
      <c r="P21" s="82" t="s">
        <v>7</v>
      </c>
      <c r="Q21" s="82" t="s">
        <v>7</v>
      </c>
      <c r="R21" s="83" t="s">
        <v>82</v>
      </c>
    </row>
    <row r="22" spans="2:18" s="65" customFormat="1" x14ac:dyDescent="0.3">
      <c r="C22" s="81" t="s">
        <v>98</v>
      </c>
      <c r="D22" s="82" t="s">
        <v>83</v>
      </c>
      <c r="E22" s="82" t="s">
        <v>7</v>
      </c>
      <c r="F22" s="82" t="s">
        <v>84</v>
      </c>
      <c r="G22" s="82" t="s">
        <v>91</v>
      </c>
      <c r="H22" s="82" t="s">
        <v>85</v>
      </c>
      <c r="I22" s="82" t="s">
        <v>7</v>
      </c>
      <c r="J22" s="82" t="s">
        <v>30</v>
      </c>
      <c r="K22" s="82" t="s">
        <v>7</v>
      </c>
      <c r="L22" s="82" t="s">
        <v>113</v>
      </c>
      <c r="M22" s="82" t="s">
        <v>86</v>
      </c>
      <c r="N22" s="82" t="s">
        <v>104</v>
      </c>
      <c r="O22" s="82" t="s">
        <v>114</v>
      </c>
      <c r="P22" s="82" t="s">
        <v>114</v>
      </c>
      <c r="Q22" s="82" t="s">
        <v>6</v>
      </c>
      <c r="R22" s="83" t="s">
        <v>90</v>
      </c>
    </row>
    <row r="23" spans="2:18" s="65" customFormat="1" x14ac:dyDescent="0.3">
      <c r="C23" s="81" t="s">
        <v>91</v>
      </c>
      <c r="D23" s="82" t="s">
        <v>97</v>
      </c>
      <c r="E23" s="82" t="s">
        <v>87</v>
      </c>
      <c r="F23" s="82" t="s">
        <v>76</v>
      </c>
      <c r="G23" s="82" t="s">
        <v>76</v>
      </c>
      <c r="H23" s="82" t="s">
        <v>111</v>
      </c>
      <c r="I23" s="82" t="s">
        <v>88</v>
      </c>
      <c r="J23" s="82" t="s">
        <v>72</v>
      </c>
      <c r="K23" s="82" t="s">
        <v>89</v>
      </c>
      <c r="L23" s="82" t="s">
        <v>6</v>
      </c>
      <c r="M23" s="82" t="s">
        <v>115</v>
      </c>
      <c r="N23" s="82" t="s">
        <v>114</v>
      </c>
      <c r="O23" s="82" t="s">
        <v>91</v>
      </c>
      <c r="P23" s="82" t="s">
        <v>82</v>
      </c>
      <c r="Q23" s="82" t="s">
        <v>116</v>
      </c>
      <c r="R23" s="83" t="s">
        <v>98</v>
      </c>
    </row>
    <row r="24" spans="2:18" s="65" customFormat="1" x14ac:dyDescent="0.3">
      <c r="C24" s="81" t="s">
        <v>6</v>
      </c>
      <c r="D24" s="89" t="s">
        <v>117</v>
      </c>
      <c r="E24" s="89" t="s">
        <v>117</v>
      </c>
      <c r="F24" s="89" t="s">
        <v>117</v>
      </c>
      <c r="G24" s="89" t="s">
        <v>117</v>
      </c>
      <c r="H24" s="89" t="s">
        <v>117</v>
      </c>
      <c r="I24" s="89" t="s">
        <v>117</v>
      </c>
      <c r="J24" s="89" t="s">
        <v>117</v>
      </c>
      <c r="K24" s="89" t="s">
        <v>117</v>
      </c>
      <c r="L24" s="89" t="s">
        <v>117</v>
      </c>
      <c r="M24" s="89" t="s">
        <v>117</v>
      </c>
      <c r="N24" s="89" t="s">
        <v>117</v>
      </c>
      <c r="O24" s="89" t="s">
        <v>117</v>
      </c>
      <c r="P24" s="82" t="s">
        <v>118</v>
      </c>
      <c r="Q24" s="82" t="s">
        <v>119</v>
      </c>
      <c r="R24" s="83" t="s">
        <v>120</v>
      </c>
    </row>
    <row r="25" spans="2:18" s="65" customFormat="1" x14ac:dyDescent="0.3">
      <c r="C25" s="81" t="s">
        <v>121</v>
      </c>
      <c r="D25" s="82" t="s">
        <v>104</v>
      </c>
      <c r="E25" s="82" t="s">
        <v>122</v>
      </c>
      <c r="F25" s="82" t="s">
        <v>123</v>
      </c>
      <c r="G25" s="82" t="s">
        <v>29</v>
      </c>
      <c r="H25" s="82" t="s">
        <v>29</v>
      </c>
      <c r="I25" s="82" t="s">
        <v>124</v>
      </c>
      <c r="J25" s="82" t="s">
        <v>126</v>
      </c>
      <c r="K25" s="82" t="s">
        <v>7</v>
      </c>
      <c r="L25" s="82" t="s">
        <v>89</v>
      </c>
      <c r="M25" s="82" t="s">
        <v>125</v>
      </c>
      <c r="N25" s="82" t="s">
        <v>127</v>
      </c>
      <c r="O25" s="82" t="s">
        <v>7</v>
      </c>
      <c r="P25" s="82" t="s">
        <v>7</v>
      </c>
      <c r="Q25" s="82" t="s">
        <v>128</v>
      </c>
      <c r="R25" s="83" t="s">
        <v>7</v>
      </c>
    </row>
    <row r="26" spans="2:18" s="65" customFormat="1" ht="15" thickBot="1" x14ac:dyDescent="0.35">
      <c r="C26" s="84" t="s">
        <v>7</v>
      </c>
      <c r="D26" s="85" t="s">
        <v>7</v>
      </c>
      <c r="E26" s="85" t="s">
        <v>7</v>
      </c>
      <c r="F26" s="85" t="s">
        <v>7</v>
      </c>
      <c r="G26" s="85" t="s">
        <v>7</v>
      </c>
      <c r="H26" s="85" t="s">
        <v>7</v>
      </c>
      <c r="I26" s="85" t="s">
        <v>7</v>
      </c>
      <c r="J26" s="85" t="s">
        <v>7</v>
      </c>
      <c r="K26" s="85" t="s">
        <v>7</v>
      </c>
      <c r="L26" s="85" t="s">
        <v>7</v>
      </c>
      <c r="M26" s="85" t="s">
        <v>7</v>
      </c>
      <c r="N26" s="85" t="s">
        <v>7</v>
      </c>
      <c r="O26" s="85" t="s">
        <v>7</v>
      </c>
      <c r="P26" s="85" t="s">
        <v>7</v>
      </c>
      <c r="Q26" s="85" t="s">
        <v>7</v>
      </c>
      <c r="R26" s="90" t="s">
        <v>94</v>
      </c>
    </row>
    <row r="27" spans="2:18" s="65" customFormat="1" x14ac:dyDescent="0.3"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</row>
    <row r="28" spans="2:18" s="65" customFormat="1" x14ac:dyDescent="0.3"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2:18" s="65" customFormat="1" x14ac:dyDescent="0.3"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2:18" s="65" customFormat="1" x14ac:dyDescent="0.3"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2:18" s="65" customFormat="1" x14ac:dyDescent="0.3"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</row>
    <row r="32" spans="2:18" s="65" customFormat="1" x14ac:dyDescent="0.3"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</row>
    <row r="33" spans="3:18" s="65" customFormat="1" x14ac:dyDescent="0.3"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Patcher</vt:lpstr>
      <vt:lpstr>Custom DV</vt:lpstr>
      <vt:lpstr>Custom EDID-LS10500</vt:lpstr>
      <vt:lpstr>Custom EDID-VAVA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2022-10-10T13:16:39Z</dcterms:modified>
</cp:coreProperties>
</file>