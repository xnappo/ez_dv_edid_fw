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A75875B9-5E35-41C8-8FA8-E1606A78432A}" xr6:coauthVersionLast="47" xr6:coauthVersionMax="47" xr10:uidLastSave="{00000000-0000-0000-0000-000000000000}"/>
  <bookViews>
    <workbookView xWindow="5103" yWindow="7315" windowWidth="26013" windowHeight="14538" activeTab="1" xr2:uid="{DE808AFE-8AFE-4111-8161-9EF8B03B2A2C}"/>
  </bookViews>
  <sheets>
    <sheet name="Patcher" sheetId="1" r:id="rId1"/>
    <sheet name="Custom FW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" i="2" l="1"/>
  <c r="U8" i="2"/>
  <c r="Y7" i="2"/>
  <c r="Y8" i="2" s="1"/>
  <c r="W7" i="2"/>
  <c r="W8" i="2" s="1"/>
  <c r="X7" i="2"/>
  <c r="X8" i="2" s="1"/>
  <c r="V7" i="2"/>
  <c r="V8" i="2" s="1"/>
  <c r="T7" i="2"/>
  <c r="T8" i="2" s="1"/>
  <c r="R7" i="2"/>
  <c r="R8" i="2" s="1"/>
  <c r="Q8" i="2"/>
  <c r="N8" i="2"/>
  <c r="AP25" i="2" a="1"/>
  <c r="AP27" i="2" a="1"/>
  <c r="AP29" i="2" a="1"/>
  <c r="AP31" i="2" a="1"/>
  <c r="AP33" i="2" a="1"/>
  <c r="AP26" i="2" a="1"/>
  <c r="AP30" i="2" a="1"/>
  <c r="AP32" i="2" a="1"/>
  <c r="AP34" i="2" a="1"/>
  <c r="AP35" i="2" a="1"/>
  <c r="AP28" i="2" a="1"/>
  <c r="AP36" i="2" a="1"/>
  <c r="AP6" i="2" a="1"/>
  <c r="AP8" i="2" a="1"/>
  <c r="AP10" i="2" a="1"/>
  <c r="AP12" i="2" a="1"/>
  <c r="AP14" i="2" a="1"/>
  <c r="AP16" i="2" a="1"/>
  <c r="AP18" i="2" a="1"/>
  <c r="AP20" i="2" a="1"/>
  <c r="AP22" i="2" a="1"/>
  <c r="AP24" i="2" a="1"/>
  <c r="AP7" i="2" a="1"/>
  <c r="AP9" i="2" a="1"/>
  <c r="AP11" i="2" a="1"/>
  <c r="AP13" i="2" a="1"/>
  <c r="AP15" i="2" a="1"/>
  <c r="AP17" i="2" a="1"/>
  <c r="AP19" i="2" a="1"/>
  <c r="AP21" i="2" a="1"/>
  <c r="AP23" i="2" a="1"/>
  <c r="AP5" i="2" a="1"/>
  <c r="C4" i="1" a="1"/>
  <c r="V5" i="2" l="1"/>
  <c r="T5" i="2"/>
  <c r="X5" i="2"/>
  <c r="AP36" i="2"/>
  <c r="AN36" i="2" s="1"/>
  <c r="AP28" i="2"/>
  <c r="AN28" i="2" s="1"/>
  <c r="AP35" i="2"/>
  <c r="AN35" i="2" s="1"/>
  <c r="AP34" i="2"/>
  <c r="AN34" i="2" s="1"/>
  <c r="AP32" i="2"/>
  <c r="AN32" i="2" s="1"/>
  <c r="AP30" i="2"/>
  <c r="AN30" i="2" s="1"/>
  <c r="AP26" i="2"/>
  <c r="AN26" i="2" s="1"/>
  <c r="AP33" i="2"/>
  <c r="AN33" i="2" s="1"/>
  <c r="AP31" i="2"/>
  <c r="AN31" i="2" s="1"/>
  <c r="AP29" i="2"/>
  <c r="AN29" i="2" s="1"/>
  <c r="AP27" i="2"/>
  <c r="AN27" i="2" s="1"/>
  <c r="AP25" i="2"/>
  <c r="AN25" i="2" s="1"/>
  <c r="AP23" i="2"/>
  <c r="AN23" i="2" s="1"/>
  <c r="AP21" i="2"/>
  <c r="AN21" i="2" s="1"/>
  <c r="AP19" i="2"/>
  <c r="AN19" i="2" s="1"/>
  <c r="AP17" i="2"/>
  <c r="AN17" i="2" s="1"/>
  <c r="AP15" i="2"/>
  <c r="AN15" i="2" s="1"/>
  <c r="AP13" i="2"/>
  <c r="AN13" i="2" s="1"/>
  <c r="AP11" i="2"/>
  <c r="AN11" i="2" s="1"/>
  <c r="AP9" i="2"/>
  <c r="AN9" i="2" s="1"/>
  <c r="AP7" i="2"/>
  <c r="AN7" i="2" s="1"/>
  <c r="AP24" i="2"/>
  <c r="AN24" i="2" s="1"/>
  <c r="AP22" i="2"/>
  <c r="AN22" i="2" s="1"/>
  <c r="AP20" i="2"/>
  <c r="AN20" i="2" s="1"/>
  <c r="AP18" i="2"/>
  <c r="AN18" i="2" s="1"/>
  <c r="AP16" i="2"/>
  <c r="AN16" i="2" s="1"/>
  <c r="AP14" i="2"/>
  <c r="AN14" i="2" s="1"/>
  <c r="AP12" i="2"/>
  <c r="AN12" i="2" s="1"/>
  <c r="AP10" i="2"/>
  <c r="AN10" i="2" s="1"/>
  <c r="AP8" i="2"/>
  <c r="AN8" i="2" s="1"/>
  <c r="AP6" i="2"/>
  <c r="AN6" i="2" s="1"/>
  <c r="AP5" i="2"/>
  <c r="AN5" i="2" s="1"/>
  <c r="C4" i="1"/>
  <c r="R5" i="2"/>
  <c r="M8" i="2"/>
  <c r="L5" i="2" s="1"/>
  <c r="K8" i="2"/>
  <c r="J8" i="2"/>
  <c r="H5" i="2" s="1"/>
  <c r="AD3" i="1"/>
  <c r="AD5" i="1" s="1"/>
  <c r="AE3" i="1"/>
  <c r="AF3" i="1"/>
  <c r="AG3" i="1"/>
  <c r="AH3" i="1"/>
  <c r="AH5" i="1" s="1"/>
  <c r="AE5" i="1"/>
  <c r="AF5" i="1"/>
  <c r="AG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H6" i="1" a="1"/>
  <c r="P6" i="1" a="1"/>
  <c r="X6" i="1" a="1"/>
  <c r="AF6" i="1" a="1"/>
  <c r="AG6" i="1" a="1"/>
  <c r="I6" i="1" a="1"/>
  <c r="Q6" i="1" a="1"/>
  <c r="AE6" i="1" a="1"/>
  <c r="AG7" i="1"/>
  <c r="AE7" i="1"/>
  <c r="V4" i="1" a="1"/>
  <c r="N7" i="1"/>
  <c r="N8" i="1"/>
  <c r="R4" i="1" a="1"/>
  <c r="Z9" i="1"/>
  <c r="AC7" i="1"/>
  <c r="F4" i="1" a="1"/>
  <c r="F9" i="1"/>
  <c r="H8" i="1"/>
  <c r="C9" i="1"/>
  <c r="J6" i="1" a="1"/>
  <c r="R6" i="1" a="1"/>
  <c r="Z6" i="1" a="1"/>
  <c r="AH6" i="1" a="1"/>
  <c r="G6" i="1" a="1"/>
  <c r="K6" i="1" a="1"/>
  <c r="S6" i="1" a="1"/>
  <c r="AG8" i="1"/>
  <c r="AF8" i="1"/>
  <c r="J8" i="1"/>
  <c r="N9" i="1"/>
  <c r="R7" i="1"/>
  <c r="R8" i="1"/>
  <c r="Z4" i="1" a="1"/>
  <c r="I7" i="1"/>
  <c r="Q7" i="1"/>
  <c r="H4" i="1" a="1"/>
  <c r="D7" i="1"/>
  <c r="F8" i="1"/>
  <c r="G9" i="1"/>
  <c r="D9" i="1"/>
  <c r="C8" i="1"/>
  <c r="E9" i="1"/>
  <c r="C7" i="1"/>
  <c r="D6" i="1" a="1"/>
  <c r="L6" i="1" a="1"/>
  <c r="T6" i="1" a="1"/>
  <c r="AB6" i="1" a="1"/>
  <c r="U6" i="1" a="1"/>
  <c r="Y6" i="1" a="1"/>
  <c r="M6" i="1" a="1"/>
  <c r="W6" i="1" a="1"/>
  <c r="AG9" i="1"/>
  <c r="AF4" i="1" a="1"/>
  <c r="V8" i="1"/>
  <c r="V9" i="1"/>
  <c r="V7" i="1"/>
  <c r="Z8" i="1"/>
  <c r="J9" i="1"/>
  <c r="Y7" i="1"/>
  <c r="U7" i="1"/>
  <c r="E4" i="1" a="1"/>
  <c r="H7" i="1"/>
  <c r="E7" i="1"/>
  <c r="H9" i="1"/>
  <c r="F6" i="1" a="1"/>
  <c r="N6" i="1" a="1"/>
  <c r="V6" i="1" a="1"/>
  <c r="AD6" i="1" a="1"/>
  <c r="AC6" i="1" a="1"/>
  <c r="E6" i="1" a="1"/>
  <c r="O6" i="1" a="1"/>
  <c r="AA6" i="1" a="1"/>
  <c r="AF9" i="1"/>
  <c r="AG4" i="1" a="1"/>
  <c r="N4" i="1" a="1"/>
  <c r="J7" i="1"/>
  <c r="Z7" i="1"/>
  <c r="J4" i="1" a="1"/>
  <c r="R9" i="1"/>
  <c r="M7" i="1"/>
  <c r="D4" i="1" a="1"/>
  <c r="G4" i="1" a="1"/>
  <c r="G8" i="1"/>
  <c r="D8" i="1"/>
  <c r="F7" i="1"/>
  <c r="G7" i="1"/>
  <c r="C6" i="1" a="1"/>
  <c r="E8" i="1"/>
  <c r="O8" i="2" l="1"/>
  <c r="O5" i="2" s="1"/>
  <c r="C12" i="2" s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AG4" i="1"/>
  <c r="AF4" i="1"/>
  <c r="Z4" i="1"/>
  <c r="R4" i="1"/>
  <c r="J4" i="1"/>
  <c r="V4" i="1"/>
  <c r="N4" i="1"/>
  <c r="G4" i="1"/>
  <c r="E4" i="1"/>
  <c r="H4" i="1"/>
  <c r="F4" i="1"/>
  <c r="D4" i="1"/>
  <c r="C6" i="1"/>
  <c r="C16" i="2"/>
  <c r="C15" i="2"/>
  <c r="C14" i="2"/>
  <c r="C13" i="2" a="1"/>
  <c r="Q11" i="1"/>
  <c r="AG10" i="1"/>
  <c r="X10" i="1"/>
  <c r="H11" i="1"/>
  <c r="AE10" i="1"/>
  <c r="I10" i="1"/>
  <c r="AF11" i="1"/>
  <c r="P11" i="1"/>
  <c r="AA10" i="1"/>
  <c r="AC10" i="1"/>
  <c r="V11" i="1"/>
  <c r="F11" i="1"/>
  <c r="M10" i="1"/>
  <c r="U10" i="1"/>
  <c r="T10" i="1"/>
  <c r="S10" i="1"/>
  <c r="AH11" i="1"/>
  <c r="R11" i="1"/>
  <c r="AH8" i="1"/>
  <c r="AF7" i="1"/>
  <c r="AH9" i="1"/>
  <c r="AB7" i="1"/>
  <c r="AB8" i="1"/>
  <c r="S9" i="1"/>
  <c r="AA9" i="1"/>
  <c r="AC4" i="1" a="1"/>
  <c r="P9" i="1"/>
  <c r="AB9" i="1"/>
  <c r="P4" i="1" a="1"/>
  <c r="K7" i="1"/>
  <c r="U9" i="1"/>
  <c r="W7" i="1"/>
  <c r="Q9" i="1"/>
  <c r="S4" i="1" a="1"/>
  <c r="U4" i="1" a="1"/>
  <c r="Y8" i="1"/>
  <c r="C10" i="1"/>
  <c r="D10" i="1"/>
  <c r="I9" i="1"/>
  <c r="AA4" i="1" a="1"/>
  <c r="G10" i="1"/>
  <c r="AD11" i="1"/>
  <c r="W10" i="1"/>
  <c r="AB11" i="1"/>
  <c r="K11" i="1"/>
  <c r="J10" i="1"/>
  <c r="AE4" i="1" a="1"/>
  <c r="W8" i="1"/>
  <c r="U8" i="1"/>
  <c r="I4" i="1" a="1"/>
  <c r="K4" i="1" a="1"/>
  <c r="L4" i="1" a="1"/>
  <c r="L7" i="1"/>
  <c r="AA7" i="1"/>
  <c r="E10" i="1"/>
  <c r="AE11" i="1"/>
  <c r="I11" i="1"/>
  <c r="AF10" i="1"/>
  <c r="P10" i="1"/>
  <c r="V10" i="1"/>
  <c r="F10" i="1"/>
  <c r="M11" i="1"/>
  <c r="U11" i="1"/>
  <c r="T11" i="1"/>
  <c r="S11" i="1"/>
  <c r="AH10" i="1"/>
  <c r="R10" i="1"/>
  <c r="AD8" i="1"/>
  <c r="AE9" i="1"/>
  <c r="AH7" i="1"/>
  <c r="T9" i="1"/>
  <c r="T8" i="1"/>
  <c r="K9" i="1"/>
  <c r="O9" i="1"/>
  <c r="M4" i="1" a="1"/>
  <c r="O7" i="1"/>
  <c r="T7" i="1"/>
  <c r="O4" i="1" a="1"/>
  <c r="P7" i="1"/>
  <c r="AB4" i="1" a="1"/>
  <c r="S8" i="1"/>
  <c r="Y4" i="1" a="1"/>
  <c r="X9" i="1"/>
  <c r="S7" i="1"/>
  <c r="Q4" i="1" a="1"/>
  <c r="C11" i="1"/>
  <c r="D11" i="1"/>
  <c r="T4" i="1" a="1"/>
  <c r="X7" i="1"/>
  <c r="X4" i="1" a="1"/>
  <c r="E11" i="1"/>
  <c r="N10" i="1"/>
  <c r="Y11" i="1"/>
  <c r="L11" i="1"/>
  <c r="Z10" i="1"/>
  <c r="AD9" i="1"/>
  <c r="AD4" i="1" a="1"/>
  <c r="W9" i="1"/>
  <c r="P8" i="1"/>
  <c r="K8" i="1"/>
  <c r="AC9" i="1"/>
  <c r="I8" i="1"/>
  <c r="AA8" i="1"/>
  <c r="AC8" i="1"/>
  <c r="G11" i="1"/>
  <c r="Q10" i="1"/>
  <c r="AG11" i="1"/>
  <c r="X11" i="1"/>
  <c r="H10" i="1"/>
  <c r="O11" i="1"/>
  <c r="AD10" i="1"/>
  <c r="N11" i="1"/>
  <c r="W11" i="1"/>
  <c r="Y10" i="1"/>
  <c r="AB10" i="1"/>
  <c r="L10" i="1"/>
  <c r="K10" i="1"/>
  <c r="Z11" i="1"/>
  <c r="J11" i="1"/>
  <c r="AE8" i="1"/>
  <c r="AH4" i="1" a="1"/>
  <c r="AD7" i="1"/>
  <c r="L9" i="1"/>
  <c r="L8" i="1"/>
  <c r="X8" i="1"/>
  <c r="Y9" i="1"/>
  <c r="M9" i="1"/>
  <c r="Q8" i="1"/>
  <c r="W4" i="1" a="1"/>
  <c r="M8" i="1"/>
  <c r="O8" i="1"/>
  <c r="AA11" i="1"/>
  <c r="O10" i="1"/>
  <c r="AC11" i="1"/>
  <c r="C13" i="2" l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  <c r="C18" i="2"/>
  <c r="C1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<sst xmlns="http://schemas.openxmlformats.org/spreadsheetml/2006/main" count="94" uniqueCount="76">
  <si>
    <t>DV String</t>
  </si>
  <si>
    <t>EDID Checksum</t>
  </si>
  <si>
    <t>Max Lum</t>
  </si>
  <si>
    <t>Max Lum #</t>
  </si>
  <si>
    <t>Max Lum DVVal</t>
  </si>
  <si>
    <t>Patch 72C0</t>
  </si>
  <si>
    <t>Patch 72D0</t>
  </si>
  <si>
    <t>Patch 74A0</t>
  </si>
  <si>
    <t>Patch 8990</t>
  </si>
  <si>
    <t>Patch 8A90</t>
  </si>
  <si>
    <t>EB</t>
  </si>
  <si>
    <t>01</t>
  </si>
  <si>
    <t>D0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</si>
  <si>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</si>
  <si>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</si>
  <si>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</si>
  <si>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</si>
  <si>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</si>
  <si>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</si>
  <si>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</si>
  <si>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</si>
  <si>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</si>
  <si>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</si>
  <si>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Standard Header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</si>
  <si>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</si>
  <si>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</si>
  <si>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</si>
  <si>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</si>
  <si>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</si>
  <si>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</si>
  <si>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</si>
  <si>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</si>
  <si>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</si>
  <si>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</si>
  <si>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</si>
  <si>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</si>
  <si>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</si>
  <si>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</si>
  <si>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</si>
  <si>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</si>
  <si>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</si>
  <si>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</si>
  <si>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</si>
  <si>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</si>
  <si>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</si>
  <si>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</si>
  <si>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</si>
  <si>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</si>
  <si>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</si>
  <si>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</si>
  <si>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</si>
  <si>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</si>
  <si>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</si>
  <si>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</si>
  <si>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</si>
  <si>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</si>
  <si>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</si>
  <si>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</si>
  <si>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</si>
  <si>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</si>
  <si>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</si>
  <si>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</si>
  <si>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</si>
  <si>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</si>
  <si>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</si>
  <si>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</si>
  <si>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</si>
  <si>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</si>
  <si>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</si>
  <si>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</si>
  <si>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</si>
  <si>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</si>
  <si>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</si>
  <si>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</si>
  <si>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</si>
  <si>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c:\exes\ez_dv_edid_fw\custom.hex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</si>
</sst>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0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2" borderId="3" xfId="0" quotePrefix="1" applyFont="1" applyFill="1" applyBorder="1" applyAlignment="1" applyProtection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6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2" fillId="0" borderId="15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20" xfId="0" applyBorder="1" applyAlignment="1" applyProtection="1">
      <alignment horizontal="center"/>
      <protection locked="0"/>
    </xf>
    <xf numFmtId="0" fontId="0" fillId="0" borderId="20" xfId="0" quotePrefix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2" borderId="17" xfId="0" quotePrefix="1" applyFill="1" applyBorder="1" applyAlignment="1" applyProtection="1">
      <alignment horizontal="center"/>
    </xf>
    <xf numFmtId="0" fontId="0" fillId="2" borderId="17" xfId="0" applyFont="1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0" fontId="2" fillId="0" borderId="25" xfId="0" applyFont="1" applyBorder="1"/>
    <xf numFmtId="0" fontId="0" fillId="0" borderId="26" xfId="0" applyBorder="1"/>
    <xf numFmtId="0" fontId="0" fillId="2" borderId="24" xfId="0" applyFill="1" applyBorder="1" applyAlignment="1" applyProtection="1">
      <alignment horizontal="center"/>
    </xf>
    <xf numFmtId="0" fontId="0" fillId="0" borderId="16" xfId="0" applyBorder="1" applyAlignment="1" applyProtection="1">
      <alignment horizontal="center"/>
    </xf>
    <xf numFmtId="0" fontId="0" fillId="2" borderId="23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20" xfId="0" applyFill="1" applyBorder="1" applyAlignment="1" applyProtection="1">
      <alignment horizontal="center"/>
    </xf>
    <xf numFmtId="0" fontId="0" fillId="0" borderId="22" xfId="0" applyBorder="1" applyAlignment="1" applyProtection="1">
      <alignment horizontal="center"/>
    </xf>
    <xf numFmtId="0" fontId="0" fillId="2" borderId="27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0" borderId="24" xfId="0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8" xfId="0" applyFill="1" applyBorder="1" applyAlignment="1">
      <alignment horizontal="center"/>
    </xf>
    <xf numFmtId="0" fontId="0" fillId="2" borderId="17" xfId="0" applyFill="1" applyBorder="1" applyAlignment="1" applyProtection="1">
      <alignment horizontal="center"/>
    </xf>
    <xf numFmtId="0" fontId="2" fillId="0" borderId="15" xfId="0" applyFont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wrapText="1"/>
    </xf>
    <xf numFmtId="0" fontId="2" fillId="0" borderId="11" xfId="0" quotePrefix="1" applyFont="1" applyBorder="1" applyAlignment="1">
      <alignment horizontal="center"/>
    </xf>
    <xf numFmtId="0" fontId="2" fillId="0" borderId="12" xfId="0" quotePrefix="1" applyFont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0" xfId="0" quotePrefix="1" applyFont="1" applyBorder="1" applyAlignment="1">
      <alignment horizontal="center"/>
    </xf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13</xdr:row>
          <xdr:rowOff>7315</xdr:rowOff>
        </xdr:from>
        <xdr:to>
          <xdr:col>3</xdr:col>
          <xdr:colOff>2991917</xdr:colOff>
          <xdr:row>16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5"/>
  <sheetViews>
    <sheetView workbookViewId="0">
      <selection activeCell="C30" sqref="C30"/>
    </sheetView>
  </sheetViews>
  <sheetFormatPr defaultRowHeight="14.4" x14ac:dyDescent="0.3"/>
  <cols>
    <col min="2" max="2" width="17.5" customWidth="1"/>
    <col min="3" max="8" width="44.39843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1" t="s">
        <v>5</v>
      </c>
      <c r="C7" s="1" t="str">
        <f>_xlfn.CONCAT(":1072C000024600207047",LEFT(C$5,20),IntelHexChecksum(_xlfn.CONCAT("1072C000024600207047",LEFT(C$5,20))))</f>
        <v>:1072C000024600207047EB0146D000450701579861</v>
      </c>
      <c r="D7" s="1" t="str">
        <f t="shared" ref="D7:AH7" si="2">_xlfn.CONCAT(":1072C000024600207047",LEFT(D$5,20),IntelHexChecksum(_xlfn.CONCAT("1072C000024600207047",LEFT(D$5,20))))</f>
        <v>:1072C000024600207047EB0146D000450709579859</v>
      </c>
      <c r="E7" s="1" t="str">
        <f t="shared" si="2"/>
        <v>:1072C000024600207047EB0146D000450711579851</v>
      </c>
      <c r="F7" s="1" t="str">
        <f t="shared" si="2"/>
        <v>:1072C000024600207047EB0146D000450719579849</v>
      </c>
      <c r="G7" s="1" t="str">
        <f t="shared" si="2"/>
        <v>:1072C000024600207047EB0146D000450721579841</v>
      </c>
      <c r="H7" s="1" t="str">
        <f t="shared" si="2"/>
        <v>:1072C000024600207047EB0146D000450729579839</v>
      </c>
      <c r="I7" s="1" t="str">
        <f t="shared" si="2"/>
        <v>:1072C000024600207047EB0146D000450731579831</v>
      </c>
      <c r="J7" s="1" t="str">
        <f t="shared" si="2"/>
        <v>:1072C000024600207047EB0146D000450739579829</v>
      </c>
      <c r="K7" s="1" t="str">
        <f t="shared" si="2"/>
        <v>:1072C000024600207047EB0146D000450741579821</v>
      </c>
      <c r="L7" s="1" t="str">
        <f t="shared" si="2"/>
        <v>:1072C000024600207047EB0146D000450749579819</v>
      </c>
      <c r="M7" s="1" t="str">
        <f t="shared" si="2"/>
        <v>:1072C000024600207047EB0146D000450751579811</v>
      </c>
      <c r="N7" s="1" t="str">
        <f t="shared" si="2"/>
        <v>:1072C000024600207047EB0146D000450759579809</v>
      </c>
      <c r="O7" s="1" t="str">
        <f t="shared" si="2"/>
        <v>:1072C000024600207047EB0146D000450761579801</v>
      </c>
      <c r="P7" s="1" t="str">
        <f t="shared" si="2"/>
        <v>:1072C000024600207047EB0146D0004507695798F9</v>
      </c>
      <c r="Q7" s="1" t="str">
        <f t="shared" si="2"/>
        <v>:1072C000024600207047EB0146D0004507715798F1</v>
      </c>
      <c r="R7" s="1" t="str">
        <f t="shared" si="2"/>
        <v>:1072C000024600207047EB0146D0004507795798E9</v>
      </c>
      <c r="S7" s="1" t="str">
        <f t="shared" si="2"/>
        <v>:1072C000024600207047EB0146D0004507815798E1</v>
      </c>
      <c r="T7" s="1" t="str">
        <f t="shared" si="2"/>
        <v>:1072C000024600207047EB0146D0004507895798D9</v>
      </c>
      <c r="U7" s="1" t="str">
        <f t="shared" si="2"/>
        <v>:1072C000024600207047EB0146D0004507915798D1</v>
      </c>
      <c r="V7" s="1" t="str">
        <f t="shared" si="2"/>
        <v>:1072C000024600207047EB0146D0004507995798C9</v>
      </c>
      <c r="W7" s="1" t="str">
        <f t="shared" si="2"/>
        <v>:1072C000024600207047EB0146D0004507A15798C1</v>
      </c>
      <c r="X7" s="1" t="str">
        <f t="shared" si="2"/>
        <v>:1072C000024600207047EB0146D0004507A95798B9</v>
      </c>
      <c r="Y7" s="1" t="str">
        <f t="shared" si="2"/>
        <v>:1072C000024600207047EB0146D0004507B15798B1</v>
      </c>
      <c r="Z7" s="1" t="str">
        <f t="shared" si="2"/>
        <v>:1072C000024600207047EB0146D0004507B95798A9</v>
      </c>
      <c r="AA7" s="1" t="str">
        <f t="shared" si="2"/>
        <v>:1072C000024600207047EB0146D0004507C15798A1</v>
      </c>
      <c r="AB7" s="1" t="str">
        <f t="shared" si="2"/>
        <v>:1072C000024600207047EB0146D0004507C9579899</v>
      </c>
      <c r="AC7" s="1" t="str">
        <f t="shared" si="2"/>
        <v>:1072C000024600207047EB0146D0004507D1579891</v>
      </c>
      <c r="AD7" s="1" t="str">
        <f t="shared" si="2"/>
        <v>:1072C000024600207047EB0146D0004507D9579889</v>
      </c>
      <c r="AE7" s="1" t="str">
        <f t="shared" si="2"/>
        <v>:1072C000024600207047EB0146D0004507E1579881</v>
      </c>
      <c r="AF7" s="1" t="str">
        <f t="shared" si="2"/>
        <v>:1072C000024600207047EB0146D0004507E9579879</v>
      </c>
      <c r="AG7" s="1" t="str">
        <f t="shared" si="2"/>
        <v>:1072C000024600207047EB0146D0004507F1579871</v>
      </c>
      <c r="AH7" s="1" t="str">
        <f t="shared" si="2"/>
        <v>:1072C000024600207047EB0146D0004507F9579869</v>
      </c>
    </row>
    <row r="8" spans="2:34" x14ac:dyDescent="0.3">
      <c r="B8" s="1" t="s">
        <v>6</v>
      </c>
      <c r="C8" s="1" t="str">
        <f>_xlfn.CONCAT(":1072D000",RIGHT(C$5,4),"00FFFFFFFFFFFF004C2D010C0100",IntelHexChecksum(_xlfn.CONCAT("1072D000",RIGHT(C$5,4),"00FFFFFFFFFFFF004C2D010C0100")))</f>
        <v>:1072D000A95300FFFFFFFFFFFF004C2D010C010031</v>
      </c>
      <c r="D8" s="1" t="str">
        <f t="shared" ref="D8:AH8" si="3">_xlfn.CONCAT(":1072D000",RIGHT(D$5,4),"00FFFFFFFFFFFF004C2D010C0100",IntelHexChecksum(_xlfn.CONCAT("1072D000",RIGHT(D$5,4),"00FFFFFFFFFFFF004C2D010C0100")))</f>
        <v>:1072D000A95300FFFFFFFFFFFF004C2D010C010031</v>
      </c>
      <c r="E8" s="1" t="str">
        <f t="shared" si="3"/>
        <v>:1072D000A95300FFFFFFFFFFFF004C2D010C010031</v>
      </c>
      <c r="F8" s="1" t="str">
        <f t="shared" si="3"/>
        <v>:1072D000A95300FFFFFFFFFFFF004C2D010C010031</v>
      </c>
      <c r="G8" s="1" t="str">
        <f t="shared" si="3"/>
        <v>:1072D000A95300FFFFFFFFFFFF004C2D010C010031</v>
      </c>
      <c r="H8" s="1" t="str">
        <f t="shared" si="3"/>
        <v>:1072D000A95300FFFFFFFFFFFF004C2D010C010031</v>
      </c>
      <c r="I8" s="1" t="str">
        <f t="shared" si="3"/>
        <v>:1072D000A95300FFFFFFFFFFFF004C2D010C010031</v>
      </c>
      <c r="J8" s="1" t="str">
        <f t="shared" si="3"/>
        <v>:1072D000A95300FFFFFFFFFFFF004C2D010C010031</v>
      </c>
      <c r="K8" s="1" t="str">
        <f t="shared" si="3"/>
        <v>:1072D000A95300FFFFFFFFFFFF004C2D010C010031</v>
      </c>
      <c r="L8" s="1" t="str">
        <f t="shared" si="3"/>
        <v>:1072D000A95300FFFFFFFFFFFF004C2D010C010031</v>
      </c>
      <c r="M8" s="1" t="str">
        <f t="shared" si="3"/>
        <v>:1072D000A95300FFFFFFFFFFFF004C2D010C010031</v>
      </c>
      <c r="N8" s="1" t="str">
        <f t="shared" si="3"/>
        <v>:1072D000A95300FFFFFFFFFFFF004C2D010C010031</v>
      </c>
      <c r="O8" s="1" t="str">
        <f t="shared" si="3"/>
        <v>:1072D000A95300FFFFFFFFFFFF004C2D010C010031</v>
      </c>
      <c r="P8" s="1" t="str">
        <f t="shared" si="3"/>
        <v>:1072D000A95300FFFFFFFFFFFF004C2D010C010031</v>
      </c>
      <c r="Q8" s="1" t="str">
        <f t="shared" si="3"/>
        <v>:1072D000A95300FFFFFFFFFFFF004C2D010C010031</v>
      </c>
      <c r="R8" s="1" t="str">
        <f t="shared" si="3"/>
        <v>:1072D000A95300FFFFFFFFFFFF004C2D010C010031</v>
      </c>
      <c r="S8" s="1" t="str">
        <f t="shared" si="3"/>
        <v>:1072D000A95300FFFFFFFFFFFF004C2D010C010031</v>
      </c>
      <c r="T8" s="1" t="str">
        <f t="shared" si="3"/>
        <v>:1072D000A95300FFFFFFFFFFFF004C2D010C010031</v>
      </c>
      <c r="U8" s="1" t="str">
        <f t="shared" si="3"/>
        <v>:1072D000A95300FFFFFFFFFFFF004C2D010C010031</v>
      </c>
      <c r="V8" s="1" t="str">
        <f t="shared" si="3"/>
        <v>:1072D000A95300FFFFFFFFFFFF004C2D010C010031</v>
      </c>
      <c r="W8" s="1" t="str">
        <f t="shared" si="3"/>
        <v>:1072D000A95300FFFFFFFFFFFF004C2D010C010031</v>
      </c>
      <c r="X8" s="1" t="str">
        <f t="shared" si="3"/>
        <v>:1072D000A95300FFFFFFFFFFFF004C2D010C010031</v>
      </c>
      <c r="Y8" s="1" t="str">
        <f t="shared" si="3"/>
        <v>:1072D000A95300FFFFFFFFFFFF004C2D010C010031</v>
      </c>
      <c r="Z8" s="1" t="str">
        <f t="shared" si="3"/>
        <v>:1072D000A95300FFFFFFFFFFFF004C2D010C010031</v>
      </c>
      <c r="AA8" s="1" t="str">
        <f t="shared" si="3"/>
        <v>:1072D000A95300FFFFFFFFFFFF004C2D010C010031</v>
      </c>
      <c r="AB8" s="1" t="str">
        <f t="shared" si="3"/>
        <v>:1072D000A95300FFFFFFFFFFFF004C2D010C010031</v>
      </c>
      <c r="AC8" s="1" t="str">
        <f t="shared" si="3"/>
        <v>:1072D000A95300FFFFFFFFFFFF004C2D010C010031</v>
      </c>
      <c r="AD8" s="1" t="str">
        <f t="shared" si="3"/>
        <v>:1072D000A95300FFFFFFFFFFFF004C2D010C010031</v>
      </c>
      <c r="AE8" s="1" t="str">
        <f t="shared" si="3"/>
        <v>:1072D000A95300FFFFFFFFFFFF004C2D010C010031</v>
      </c>
      <c r="AF8" s="1" t="str">
        <f t="shared" si="3"/>
        <v>:1072D000A95300FFFFFFFFFFFF004C2D010C010031</v>
      </c>
      <c r="AG8" s="1" t="str">
        <f t="shared" si="3"/>
        <v>:1072D000A95300FFFFFFFFFFFF004C2D010C010031</v>
      </c>
      <c r="AH8" s="1" t="str">
        <f t="shared" si="3"/>
        <v>:1072D000A95300FFFFFFFFFFFF004C2D010C010031</v>
      </c>
    </row>
    <row r="9" spans="2:34" x14ac:dyDescent="0.3">
      <c r="B9" s="2" t="s">
        <v>7</v>
      </c>
      <c r="C9" s="1" t="str">
        <f>_xlfn.CONCAT(":1074A000060501",C$5,"8C",IntelHexChecksum(_xlfn.CONCAT("1074A000060501",C$5,"8C")))</f>
        <v>:1074A000060501EB0146D0004507015798A9538C0A</v>
      </c>
      <c r="D9" s="1" t="str">
        <f t="shared" ref="D9:AH9" si="4">_xlfn.CONCAT(":1074A000060501",D$5,"8C",IntelHexChecksum(_xlfn.CONCAT("1074A000060501",D$5,"8C")))</f>
        <v>:1074A000060501EB0146D0004507095798A9538C02</v>
      </c>
      <c r="E9" s="1" t="str">
        <f t="shared" si="4"/>
        <v>:1074A000060501EB0146D0004507115798A9538CFA</v>
      </c>
      <c r="F9" s="1" t="str">
        <f t="shared" si="4"/>
        <v>:1074A000060501EB0146D0004507195798A9538CF2</v>
      </c>
      <c r="G9" s="1" t="str">
        <f t="shared" si="4"/>
        <v>:1074A000060501EB0146D0004507215798A9538CEA</v>
      </c>
      <c r="H9" s="1" t="str">
        <f t="shared" si="4"/>
        <v>:1074A000060501EB0146D0004507295798A9538CE2</v>
      </c>
      <c r="I9" s="1" t="str">
        <f t="shared" si="4"/>
        <v>:1074A000060501EB0146D0004507315798A9538CDA</v>
      </c>
      <c r="J9" s="1" t="str">
        <f t="shared" si="4"/>
        <v>:1074A000060501EB0146D0004507395798A9538CD2</v>
      </c>
      <c r="K9" s="1" t="str">
        <f t="shared" si="4"/>
        <v>:1074A000060501EB0146D0004507415798A9538CCA</v>
      </c>
      <c r="L9" s="1" t="str">
        <f t="shared" si="4"/>
        <v>:1074A000060501EB0146D0004507495798A9538CC2</v>
      </c>
      <c r="M9" s="1" t="str">
        <f t="shared" si="4"/>
        <v>:1074A000060501EB0146D0004507515798A9538CBA</v>
      </c>
      <c r="N9" s="1" t="str">
        <f t="shared" si="4"/>
        <v>:1074A000060501EB0146D0004507595798A9538CB2</v>
      </c>
      <c r="O9" s="1" t="str">
        <f t="shared" si="4"/>
        <v>:1074A000060501EB0146D0004507615798A9538CAA</v>
      </c>
      <c r="P9" s="1" t="str">
        <f t="shared" si="4"/>
        <v>:1074A000060501EB0146D0004507695798A9538CA2</v>
      </c>
      <c r="Q9" s="1" t="str">
        <f t="shared" si="4"/>
        <v>:1074A000060501EB0146D0004507715798A9538C9A</v>
      </c>
      <c r="R9" s="1" t="str">
        <f t="shared" si="4"/>
        <v>:1074A000060501EB0146D0004507795798A9538C92</v>
      </c>
      <c r="S9" s="1" t="str">
        <f t="shared" si="4"/>
        <v>:1074A000060501EB0146D0004507815798A9538C8A</v>
      </c>
      <c r="T9" s="1" t="str">
        <f t="shared" si="4"/>
        <v>:1074A000060501EB0146D0004507895798A9538C82</v>
      </c>
      <c r="U9" s="1" t="str">
        <f t="shared" si="4"/>
        <v>:1074A000060501EB0146D0004507915798A9538C7A</v>
      </c>
      <c r="V9" s="1" t="str">
        <f t="shared" si="4"/>
        <v>:1074A000060501EB0146D0004507995798A9538C72</v>
      </c>
      <c r="W9" s="1" t="str">
        <f t="shared" si="4"/>
        <v>:1074A000060501EB0146D0004507A15798A9538C6A</v>
      </c>
      <c r="X9" s="1" t="str">
        <f t="shared" si="4"/>
        <v>:1074A000060501EB0146D0004507A95798A9538C62</v>
      </c>
      <c r="Y9" s="1" t="str">
        <f t="shared" si="4"/>
        <v>:1074A000060501EB0146D0004507B15798A9538C5A</v>
      </c>
      <c r="Z9" s="1" t="str">
        <f t="shared" si="4"/>
        <v>:1074A000060501EB0146D0004507B95798A9538C52</v>
      </c>
      <c r="AA9" s="1" t="str">
        <f t="shared" si="4"/>
        <v>:1074A000060501EB0146D0004507C15798A9538C4A</v>
      </c>
      <c r="AB9" s="1" t="str">
        <f t="shared" si="4"/>
        <v>:1074A000060501EB0146D0004507C95798A9538C42</v>
      </c>
      <c r="AC9" s="1" t="str">
        <f t="shared" si="4"/>
        <v>:1074A000060501EB0146D0004507D15798A9538C3A</v>
      </c>
      <c r="AD9" s="1" t="str">
        <f t="shared" si="4"/>
        <v>:1074A000060501EB0146D0004507D95798A9538C32</v>
      </c>
      <c r="AE9" s="1" t="str">
        <f t="shared" si="4"/>
        <v>:1074A000060501EB0146D0004507E15798A9538C2A</v>
      </c>
      <c r="AF9" s="1" t="str">
        <f t="shared" si="4"/>
        <v>:1074A000060501EB0146D0004507E95798A9538C22</v>
      </c>
      <c r="AG9" s="1" t="str">
        <f t="shared" si="4"/>
        <v>:1074A000060501EB0146D0004507F15798A9538C1A</v>
      </c>
      <c r="AH9" s="1" t="str">
        <f t="shared" si="4"/>
        <v>:1074A000060501EB0146D0004507F95798A9538C12</v>
      </c>
    </row>
    <row r="10" spans="2:34" x14ac:dyDescent="0.3">
      <c r="B10" s="2" t="s">
        <v>8</v>
      </c>
      <c r="C10" s="1" t="str">
        <f>_xlfn.CONCAT(":10899000000000000000",C$6,"0605018C0AD08A20E0",IntelHexChecksum((_xlfn.CONCAT("10899000000000000000",C$6,"0605018C0AD08A20E0"))))</f>
        <v>:10899000000000000000A00605018C0AD08A20E03B</v>
      </c>
      <c r="D10" s="1" t="str">
        <f t="shared" ref="D10:AH10" si="5">_xlfn.CONCAT(":10899000000000000000",D$6,"0605018C0AD08A20E0",IntelHexChecksum((_xlfn.CONCAT("10899000000000000000",D$6,"0605018C0AD08A20E0"))))</f>
        <v>:10899000000000000000980605018C0AD08A20E043</v>
      </c>
      <c r="E10" s="1" t="str">
        <f t="shared" si="5"/>
        <v>:10899000000000000000900605018C0AD08A20E04B</v>
      </c>
      <c r="F10" s="1" t="str">
        <f t="shared" si="5"/>
        <v>:10899000000000000000880605018C0AD08A20E053</v>
      </c>
      <c r="G10" s="1" t="str">
        <f t="shared" si="5"/>
        <v>:10899000000000000000800605018C0AD08A20E05B</v>
      </c>
      <c r="H10" s="1" t="str">
        <f t="shared" si="5"/>
        <v>:10899000000000000000780605018C0AD08A20E063</v>
      </c>
      <c r="I10" s="1" t="str">
        <f t="shared" si="5"/>
        <v>:10899000000000000000700605018C0AD08A20E06B</v>
      </c>
      <c r="J10" s="1" t="str">
        <f t="shared" si="5"/>
        <v>:10899000000000000000680605018C0AD08A20E073</v>
      </c>
      <c r="K10" s="1" t="str">
        <f t="shared" si="5"/>
        <v>:10899000000000000000600605018C0AD08A20E07B</v>
      </c>
      <c r="L10" s="1" t="str">
        <f t="shared" si="5"/>
        <v>:10899000000000000000580605018C0AD08A20E083</v>
      </c>
      <c r="M10" s="1" t="str">
        <f t="shared" si="5"/>
        <v>:10899000000000000000500605018C0AD08A20E08B</v>
      </c>
      <c r="N10" s="1" t="str">
        <f t="shared" si="5"/>
        <v>:10899000000000000000480605018C0AD08A20E093</v>
      </c>
      <c r="O10" s="1" t="str">
        <f t="shared" si="5"/>
        <v>:10899000000000000000400605018C0AD08A20E09B</v>
      </c>
      <c r="P10" s="1" t="str">
        <f t="shared" si="5"/>
        <v>:10899000000000000000380605018C0AD08A20E0A3</v>
      </c>
      <c r="Q10" s="1" t="str">
        <f t="shared" si="5"/>
        <v>:10899000000000000000300605018C0AD08A20E0AB</v>
      </c>
      <c r="R10" s="1" t="str">
        <f t="shared" si="5"/>
        <v>:10899000000000000000280605018C0AD08A20E0B3</v>
      </c>
      <c r="S10" s="1" t="str">
        <f t="shared" si="5"/>
        <v>:10899000000000000000200605018C0AD08A20E0BB</v>
      </c>
      <c r="T10" s="1" t="str">
        <f t="shared" si="5"/>
        <v>:10899000000000000000180605018C0AD08A20E0C3</v>
      </c>
      <c r="U10" s="1" t="str">
        <f t="shared" si="5"/>
        <v>:10899000000000000000100605018C0AD08A20E0CB</v>
      </c>
      <c r="V10" s="1" t="str">
        <f t="shared" si="5"/>
        <v>:10899000000000000000080605018C0AD08A20E0D3</v>
      </c>
      <c r="W10" s="1" t="str">
        <f t="shared" si="5"/>
        <v>:10899000000000000000000605018C0AD08A20E0DB</v>
      </c>
      <c r="X10" s="1" t="str">
        <f t="shared" si="5"/>
        <v>:10899000000000000000F80605018C0AD08A20E0E3</v>
      </c>
      <c r="Y10" s="1" t="str">
        <f t="shared" si="5"/>
        <v>:10899000000000000000F00605018C0AD08A20E0EB</v>
      </c>
      <c r="Z10" s="1" t="str">
        <f t="shared" si="5"/>
        <v>:10899000000000000000E80605018C0AD08A20E0F3</v>
      </c>
      <c r="AA10" s="1" t="str">
        <f t="shared" si="5"/>
        <v>:10899000000000000000E00605018C0AD08A20E0FB</v>
      </c>
      <c r="AB10" s="1" t="str">
        <f t="shared" si="5"/>
        <v>:10899000000000000000D80605018C0AD08A20E003</v>
      </c>
      <c r="AC10" s="1" t="str">
        <f t="shared" si="5"/>
        <v>:10899000000000000000D00605018C0AD08A20E00B</v>
      </c>
      <c r="AD10" s="1" t="str">
        <f t="shared" si="5"/>
        <v>:10899000000000000000C80605018C0AD08A20E013</v>
      </c>
      <c r="AE10" s="1" t="str">
        <f t="shared" si="5"/>
        <v>:10899000000000000000C00605018C0AD08A20E01B</v>
      </c>
      <c r="AF10" s="1" t="str">
        <f t="shared" si="5"/>
        <v>:10899000000000000000B80605018C0AD08A20E023</v>
      </c>
      <c r="AG10" s="1" t="str">
        <f t="shared" si="5"/>
        <v>:10899000000000000000B00605018C0AD08A20E02B</v>
      </c>
      <c r="AH10" s="1" t="str">
        <f t="shared" si="5"/>
        <v>:10899000000000000000A80605018C0AD08A20E033</v>
      </c>
    </row>
    <row r="11" spans="2:34" x14ac:dyDescent="0.3">
      <c r="B11" s="1" t="s">
        <v>9</v>
      </c>
      <c r="C11" s="1" t="str">
        <f>_xlfn.CONCAT(":108A9000201820282038200000000000000000",C$6,IntelHexChecksum(_xlfn.CONCAT("108A9000201820282038200000000000000000",C$6)))</f>
        <v>:108A9000201820282038200000000000000000A03E</v>
      </c>
      <c r="D11" s="1" t="str">
        <f t="shared" ref="D11:AH11" si="6">_xlfn.CONCAT(":108A9000201820282038200000000000000000",D$6,IntelHexChecksum(_xlfn.CONCAT("108A9000201820282038200000000000000000",D$6)))</f>
        <v>:108A90002018202820382000000000000000009846</v>
      </c>
      <c r="E11" s="1" t="str">
        <f t="shared" si="6"/>
        <v>:108A9000201820282038200000000000000000904E</v>
      </c>
      <c r="F11" s="1" t="str">
        <f t="shared" si="6"/>
        <v>:108A90002018202820382000000000000000008856</v>
      </c>
      <c r="G11" s="1" t="str">
        <f t="shared" si="6"/>
        <v>:108A9000201820282038200000000000000000805E</v>
      </c>
      <c r="H11" s="1" t="str">
        <f t="shared" si="6"/>
        <v>:108A90002018202820382000000000000000007866</v>
      </c>
      <c r="I11" s="1" t="str">
        <f t="shared" si="6"/>
        <v>:108A9000201820282038200000000000000000706E</v>
      </c>
      <c r="J11" s="1" t="str">
        <f t="shared" si="6"/>
        <v>:108A90002018202820382000000000000000006876</v>
      </c>
      <c r="K11" s="1" t="str">
        <f t="shared" si="6"/>
        <v>:108A9000201820282038200000000000000000607E</v>
      </c>
      <c r="L11" s="1" t="str">
        <f t="shared" si="6"/>
        <v>:108A90002018202820382000000000000000005886</v>
      </c>
      <c r="M11" s="1" t="str">
        <f t="shared" si="6"/>
        <v>:108A9000201820282038200000000000000000508E</v>
      </c>
      <c r="N11" s="1" t="str">
        <f t="shared" si="6"/>
        <v>:108A90002018202820382000000000000000004896</v>
      </c>
      <c r="O11" s="1" t="str">
        <f t="shared" si="6"/>
        <v>:108A9000201820282038200000000000000000409E</v>
      </c>
      <c r="P11" s="1" t="str">
        <f t="shared" si="6"/>
        <v>:108A900020182028203820000000000000000038A6</v>
      </c>
      <c r="Q11" s="1" t="str">
        <f t="shared" si="6"/>
        <v>:108A900020182028203820000000000000000030AE</v>
      </c>
      <c r="R11" s="1" t="str">
        <f t="shared" si="6"/>
        <v>:108A900020182028203820000000000000000028B6</v>
      </c>
      <c r="S11" s="1" t="str">
        <f t="shared" si="6"/>
        <v>:108A900020182028203820000000000000000020BE</v>
      </c>
      <c r="T11" s="1" t="str">
        <f t="shared" si="6"/>
        <v>:108A900020182028203820000000000000000018C6</v>
      </c>
      <c r="U11" s="1" t="str">
        <f t="shared" si="6"/>
        <v>:108A900020182028203820000000000000000010CE</v>
      </c>
      <c r="V11" s="1" t="str">
        <f t="shared" si="6"/>
        <v>:108A900020182028203820000000000000000008D6</v>
      </c>
      <c r="W11" s="1" t="str">
        <f t="shared" si="6"/>
        <v>:108A900020182028203820000000000000000000DE</v>
      </c>
      <c r="X11" s="1" t="str">
        <f t="shared" si="6"/>
        <v>:108A9000201820282038200000000000000000F8E6</v>
      </c>
      <c r="Y11" s="1" t="str">
        <f t="shared" si="6"/>
        <v>:108A9000201820282038200000000000000000F0EE</v>
      </c>
      <c r="Z11" s="1" t="str">
        <f t="shared" si="6"/>
        <v>:108A9000201820282038200000000000000000E8F6</v>
      </c>
      <c r="AA11" s="1" t="str">
        <f t="shared" si="6"/>
        <v>:108A9000201820282038200000000000000000E0FE</v>
      </c>
      <c r="AB11" s="1" t="str">
        <f t="shared" si="6"/>
        <v>:108A9000201820282038200000000000000000D806</v>
      </c>
      <c r="AC11" s="1" t="str">
        <f t="shared" si="6"/>
        <v>:108A9000201820282038200000000000000000D00E</v>
      </c>
      <c r="AD11" s="1" t="str">
        <f t="shared" si="6"/>
        <v>:108A9000201820282038200000000000000000C816</v>
      </c>
      <c r="AE11" s="1" t="str">
        <f t="shared" si="6"/>
        <v>:108A9000201820282038200000000000000000C01E</v>
      </c>
      <c r="AF11" s="1" t="str">
        <f t="shared" si="6"/>
        <v>:108A9000201820282038200000000000000000B826</v>
      </c>
      <c r="AG11" s="1" t="str">
        <f t="shared" si="6"/>
        <v>:108A9000201820282038200000000000000000B02E</v>
      </c>
      <c r="AH11" s="1" t="str">
        <f t="shared" si="6"/>
        <v>:108A9000201820282038200000000000000000A836</v>
      </c>
    </row>
    <row r="13" spans="2:34" x14ac:dyDescent="0.3">
      <c r="C13" s="1"/>
      <c r="D13" s="1"/>
      <c r="E13" s="1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13</xdr:row>
                    <xdr:rowOff>7315</xdr:rowOff>
                  </from>
                  <to>
                    <xdr:col>3</xdr:col>
                    <xdr:colOff>2991917</xdr:colOff>
                    <xdr:row>16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5006-8378-4666-AF88-3F6D0C2A21AC}">
  <sheetPr codeName="Sheet2"/>
  <dimension ref="B2:BB36"/>
  <sheetViews>
    <sheetView tabSelected="1" zoomScale="90" zoomScaleNormal="90" workbookViewId="0">
      <selection activeCell="L19" sqref="L19"/>
    </sheetView>
  </sheetViews>
  <sheetFormatPr defaultRowHeight="14.4" x14ac:dyDescent="0.3"/>
  <cols>
    <col min="2" max="2" width="10.8984375" customWidth="1"/>
    <col min="3" max="7" width="4.3984375" customWidth="1"/>
    <col min="8" max="8" width="10.69921875" customWidth="1"/>
    <col min="9" max="9" width="10" customWidth="1"/>
    <col min="10" max="10" width="12.69921875" customWidth="1"/>
    <col min="11" max="11" width="12.296875" customWidth="1"/>
    <col min="12" max="12" width="11.19921875" customWidth="1"/>
    <col min="13" max="13" width="11.69921875" customWidth="1"/>
    <col min="14" max="14" width="9.8984375" customWidth="1"/>
    <col min="15" max="16" width="8.3984375" customWidth="1"/>
    <col min="17" max="17" width="20.3984375" customWidth="1"/>
    <col min="18" max="18" width="8.19921875" customWidth="1"/>
    <col min="19" max="19" width="11.796875" customWidth="1"/>
    <col min="20" max="20" width="7.59765625" customWidth="1"/>
    <col min="21" max="21" width="12.59765625" customWidth="1"/>
    <col min="22" max="23" width="7.5" customWidth="1"/>
    <col min="24" max="25" width="7.19921875" customWidth="1"/>
    <col min="47" max="47" width="24.59765625" customWidth="1"/>
  </cols>
  <sheetData>
    <row r="2" spans="2:54" ht="15" thickBot="1" x14ac:dyDescent="0.35"/>
    <row r="3" spans="2:54" ht="15" thickBot="1" x14ac:dyDescent="0.35">
      <c r="H3" s="36" t="s">
        <v>40</v>
      </c>
      <c r="I3" s="37" t="s">
        <v>52</v>
      </c>
    </row>
    <row r="4" spans="2:54" ht="15" thickBot="1" x14ac:dyDescent="0.35">
      <c r="AO4" t="s">
        <v>32</v>
      </c>
      <c r="AP4" t="s">
        <v>33</v>
      </c>
      <c r="AR4" t="s">
        <v>15</v>
      </c>
      <c r="AS4" t="s">
        <v>41</v>
      </c>
      <c r="AU4" t="s">
        <v>42</v>
      </c>
      <c r="AV4" t="s">
        <v>43</v>
      </c>
    </row>
    <row r="5" spans="2:54" ht="15" thickBot="1" x14ac:dyDescent="0.35">
      <c r="C5" s="14" t="s">
        <v>10</v>
      </c>
      <c r="D5" s="15" t="s">
        <v>11</v>
      </c>
      <c r="E5" s="14">
        <v>46</v>
      </c>
      <c r="F5" s="14" t="s">
        <v>12</v>
      </c>
      <c r="G5" s="15" t="s">
        <v>13</v>
      </c>
      <c r="H5" s="57" t="str">
        <f>DEC2HEX(_xlfn.BITLSHIFT(BIN2DEC(H8),5)+_xlfn.BITLSHIFT(BIN2DEC(I8),2)+_xlfn.BITLSHIFT(BIN2DEC(J8),1)+BIN2DEC(K8))</f>
        <v>45</v>
      </c>
      <c r="I5" s="58"/>
      <c r="J5" s="58"/>
      <c r="K5" s="59"/>
      <c r="L5" s="60" t="str">
        <f>DEC2HEX(_xlfn.BITLSHIFT(BIN2DEC(L8),3)+_xlfn.BITLSHIFT(BIN2DEC(M8),2)+BIN2DEC(N8),2)</f>
        <v>07</v>
      </c>
      <c r="M5" s="52"/>
      <c r="N5" s="53"/>
      <c r="O5" s="60" t="str">
        <f>DEC2HEX(_xlfn.BITLSHIFT(BIN2DEC(O8),3)+_xlfn.BITLSHIFT(BIN2DEC(P8),1)+BIN2DEC(Q8),2)</f>
        <v>01</v>
      </c>
      <c r="P5" s="52"/>
      <c r="Q5" s="53"/>
      <c r="R5" s="52" t="str">
        <f>BIN2HEX(_xlfn.CONCAT(R8,S8),2)</f>
        <v>57</v>
      </c>
      <c r="S5" s="53"/>
      <c r="T5" s="52" t="str">
        <f>BIN2HEX(_xlfn.CONCAT(T8,U8),2)</f>
        <v>98</v>
      </c>
      <c r="U5" s="53"/>
      <c r="V5" s="52" t="str">
        <f>BIN2HEX(_xlfn.CONCAT(V8,W8),2)</f>
        <v>A9</v>
      </c>
      <c r="W5" s="53"/>
      <c r="X5" s="52" t="str">
        <f>BIN2HEX(_xlfn.CONCAT(X8,Y8),2)</f>
        <v>53</v>
      </c>
      <c r="Y5" s="53"/>
      <c r="AN5" s="4">
        <f t="shared" ref="AN5:AN36" si="0">INT(AP5)</f>
        <v>96</v>
      </c>
      <c r="AO5">
        <v>0</v>
      </c>
      <c r="AP5" s="4" cm="1">
        <f t="array" ref="AP5">PQ2nits((2055+65*AO5)/(2055+31*65))</f>
        <v>96.892947435897241</v>
      </c>
      <c r="AR5" s="22" t="s">
        <v>29</v>
      </c>
      <c r="AS5" s="21" t="s">
        <v>13</v>
      </c>
      <c r="AU5" s="23" t="s">
        <v>44</v>
      </c>
      <c r="AV5" s="6" t="s">
        <v>13</v>
      </c>
    </row>
    <row r="6" spans="2:54" ht="30.55" customHeight="1" x14ac:dyDescent="0.3">
      <c r="C6" s="54" t="s">
        <v>23</v>
      </c>
      <c r="D6" s="55"/>
      <c r="E6" s="55"/>
      <c r="F6" s="55"/>
      <c r="G6" s="56"/>
      <c r="H6" s="24" t="s">
        <v>16</v>
      </c>
      <c r="I6" s="25" t="s">
        <v>18</v>
      </c>
      <c r="J6" s="26" t="s">
        <v>24</v>
      </c>
      <c r="K6" s="27" t="s">
        <v>14</v>
      </c>
      <c r="L6" s="51" t="s">
        <v>69</v>
      </c>
      <c r="M6" s="26" t="s">
        <v>49</v>
      </c>
      <c r="N6" s="50" t="s">
        <v>68</v>
      </c>
      <c r="O6" s="51" t="s">
        <v>70</v>
      </c>
      <c r="P6" s="28" t="s">
        <v>17</v>
      </c>
      <c r="Q6" s="27" t="s">
        <v>46</v>
      </c>
      <c r="R6" s="28" t="s">
        <v>67</v>
      </c>
      <c r="S6" s="27" t="s">
        <v>31</v>
      </c>
      <c r="T6" s="28" t="s">
        <v>66</v>
      </c>
      <c r="U6" s="27" t="s">
        <v>30</v>
      </c>
      <c r="V6" s="28" t="s">
        <v>65</v>
      </c>
      <c r="W6" s="27" t="s">
        <v>20</v>
      </c>
      <c r="X6" s="25" t="s">
        <v>64</v>
      </c>
      <c r="Y6" s="27" t="s">
        <v>19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R6" s="22" t="s">
        <v>28</v>
      </c>
      <c r="AS6" s="21" t="s">
        <v>11</v>
      </c>
      <c r="AU6" s="23" t="s">
        <v>45</v>
      </c>
      <c r="AV6" s="6" t="s">
        <v>11</v>
      </c>
    </row>
    <row r="7" spans="2:54" x14ac:dyDescent="0.3">
      <c r="C7" s="16"/>
      <c r="D7" s="10"/>
      <c r="E7" s="10"/>
      <c r="F7" s="10"/>
      <c r="G7" s="17"/>
      <c r="H7" s="18">
        <v>2</v>
      </c>
      <c r="I7" s="19" t="s">
        <v>27</v>
      </c>
      <c r="J7" s="29" t="s">
        <v>26</v>
      </c>
      <c r="K7" s="29" t="s">
        <v>25</v>
      </c>
      <c r="L7" s="18">
        <v>0</v>
      </c>
      <c r="M7" s="29" t="s">
        <v>25</v>
      </c>
      <c r="N7" s="30" t="s">
        <v>35</v>
      </c>
      <c r="O7" s="47">
        <v>96</v>
      </c>
      <c r="P7" s="48">
        <v>0</v>
      </c>
      <c r="Q7" s="31" t="s">
        <v>45</v>
      </c>
      <c r="R7" s="42">
        <f>INDEX(AX15:AX17,MATCH(I3,AU15:AU17,0))</f>
        <v>0.17</v>
      </c>
      <c r="S7" s="43" t="s">
        <v>25</v>
      </c>
      <c r="T7" s="44">
        <f>INDEX(AY15:AY17,MATCH($I$3,$AU$15:$AU$17,0))</f>
        <v>0.79700000000000004</v>
      </c>
      <c r="U7" s="43" t="s">
        <v>26</v>
      </c>
      <c r="V7" s="44">
        <f>INDEX(AV15:AV17,MATCH($I$3,$AU$15:$AU$17,0))</f>
        <v>0.70799999999999996</v>
      </c>
      <c r="W7" s="45">
        <f>INDEX(AZ15:AZ17,MATCH($I$3,$AU$15:$AU$17,0))</f>
        <v>0.13100000000000001</v>
      </c>
      <c r="X7" s="42">
        <f>INDEX(AW15:AW17,MATCH($I$3,$AU$15:$AU$17,0))</f>
        <v>0.29199999999999998</v>
      </c>
      <c r="Y7" s="45">
        <f>INDEX(BA15:BA17,MATCH($I$3,$AU$15:$AU$17,0))</f>
        <v>4.5999999999999999E-2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R7" s="22" t="s">
        <v>34</v>
      </c>
      <c r="AS7" s="21" t="s">
        <v>36</v>
      </c>
      <c r="AU7" s="23" t="s">
        <v>47</v>
      </c>
      <c r="AV7" s="6" t="s">
        <v>36</v>
      </c>
    </row>
    <row r="8" spans="2:54" s="7" customFormat="1" ht="15" thickBot="1" x14ac:dyDescent="0.35">
      <c r="C8" s="12"/>
      <c r="D8" s="11"/>
      <c r="E8" s="11"/>
      <c r="F8" s="11"/>
      <c r="G8" s="13"/>
      <c r="H8" s="20" t="s">
        <v>21</v>
      </c>
      <c r="I8" s="32" t="s">
        <v>22</v>
      </c>
      <c r="J8" s="33">
        <f>IF(EXACT(J7,"Supported"),1,0)</f>
        <v>0</v>
      </c>
      <c r="K8" s="33">
        <f>IF(EXACT(K7,"Supported"),1,0)</f>
        <v>1</v>
      </c>
      <c r="L8" s="20" t="s">
        <v>39</v>
      </c>
      <c r="M8" s="33">
        <f>IF(EXACT(M7,"Supported"),1,0)</f>
        <v>1</v>
      </c>
      <c r="N8" s="34" t="str">
        <f>IF(EXACT(J7,"Not Supported"),"11",INDEX(AS5:AS8,MATCH(N7,AR5:AR8,0)))</f>
        <v>11</v>
      </c>
      <c r="O8" s="38" t="str">
        <f>DEC2BIN(VLOOKUP(O7,AN5:AO36,2),5)</f>
        <v>00000</v>
      </c>
      <c r="P8" s="49">
        <v>0</v>
      </c>
      <c r="Q8" s="34" t="str">
        <f>VLOOKUP(Q7,AU5:AV8,2)</f>
        <v>01</v>
      </c>
      <c r="R8" s="39" t="str">
        <f>DEC2BIN(R7/( 0.49609375/127),7)</f>
        <v>0101011</v>
      </c>
      <c r="S8" s="40">
        <f>IF(AND(EXACT(S7,"Supported"),EXACT(U7,"Not Supported")),1,0)</f>
        <v>1</v>
      </c>
      <c r="T8" s="39" t="str">
        <f>DEC2BIN((T7-0.5)/((0.99609375-0.5)/127),7)</f>
        <v>1001100</v>
      </c>
      <c r="U8" s="40">
        <f>IF(AND(EXACT(U7,"Supported"),EXACT(S7,"Not Supported")),1,0)</f>
        <v>0</v>
      </c>
      <c r="V8" s="46" t="str">
        <f>DEC2BIN((V7-0.625)/((0.74609375-0.625)/31),5)</f>
        <v>10101</v>
      </c>
      <c r="W8" s="35" t="str">
        <f>DEC2BIN((W7-0.125)/((0.15234375-0.125)/7),3)</f>
        <v>001</v>
      </c>
      <c r="X8" s="46" t="str">
        <f>DEC2BIN((X7-0.25)/((0.37109375-0.25)/31),5)</f>
        <v>01010</v>
      </c>
      <c r="Y8" s="35" t="str">
        <f>DEC2BIN((Y7-0.03125)/((0.05859375-0.03125)/7),3)</f>
        <v>011</v>
      </c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R8" s="21" t="s">
        <v>35</v>
      </c>
      <c r="AS8" s="21" t="s">
        <v>37</v>
      </c>
      <c r="AU8" s="23" t="s">
        <v>48</v>
      </c>
      <c r="AV8" s="8" t="s">
        <v>37</v>
      </c>
    </row>
    <row r="9" spans="2:54" x14ac:dyDescent="0.3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R9" s="5" t="s">
        <v>38</v>
      </c>
      <c r="AS9">
        <v>11</v>
      </c>
    </row>
    <row r="10" spans="2:54" x14ac:dyDescent="0.3">
      <c r="B10" s="9" t="s">
        <v>72</v>
      </c>
      <c r="C10" s="9" t="s">
        <v>74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x14ac:dyDescent="0.3">
      <c r="B11" s="9" t="s">
        <v>73</v>
      </c>
      <c r="C11" s="9" t="s">
        <v>75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9" t="s">
        <v>0</v>
      </c>
      <c r="C12" t="str">
        <f>_xlfn.CONCAT(C5:Y5)</f>
        <v>EB0146D0004507015798A953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t="s">
        <v>71</v>
      </c>
      <c r="C13" s="3" t="str" cm="1">
        <f t="array" ref="C13">EDIDCheckSum(C12)</f>
        <v>A0</v>
      </c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1" t="s">
        <v>5</v>
      </c>
      <c r="C14" s="1" t="str">
        <f>_xlfn.CONCAT(":1072C000024600207047",LEFT(C$12,20),IntelHexChecksum(_xlfn.CONCAT("1072C000024600207047",LEFT(C$12,20))))</f>
        <v>:1072C000024600207047EB0146D000450701579861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U14" t="s">
        <v>50</v>
      </c>
      <c r="AV14" t="s">
        <v>54</v>
      </c>
      <c r="AW14" t="s">
        <v>55</v>
      </c>
      <c r="AX14" t="s">
        <v>56</v>
      </c>
      <c r="AY14" t="s">
        <v>57</v>
      </c>
      <c r="AZ14" t="s">
        <v>58</v>
      </c>
      <c r="BA14" t="s">
        <v>59</v>
      </c>
      <c r="BB14" t="s">
        <v>63</v>
      </c>
    </row>
    <row r="15" spans="2:54" x14ac:dyDescent="0.3">
      <c r="B15" s="1" t="s">
        <v>6</v>
      </c>
      <c r="C15" s="1" t="str">
        <f>_xlfn.CONCAT(":1072D000",RIGHT(C$12,4),"00FFFFFFFFFFFF004C2D010C0100",IntelHexChecksum(_xlfn.CONCAT("1072D000",RIGHT(C$12,4),"00FFFFFFFFFFFF004C2D010C0100")))</f>
        <v>:1072D000A95300FFFFFFFFFFFF004C2D010C010031</v>
      </c>
      <c r="AN15" s="4">
        <f t="shared" si="0"/>
        <v>447</v>
      </c>
      <c r="AO15">
        <v>10</v>
      </c>
      <c r="AP15" s="4" cm="1">
        <f t="array" ref="AP15">PQ2nits((2055+65*AO15)/(2055+31*65))</f>
        <v>447.44243145789636</v>
      </c>
      <c r="AU15" s="6" t="s">
        <v>51</v>
      </c>
      <c r="AV15" s="41">
        <v>0.64</v>
      </c>
      <c r="AW15" s="41">
        <v>0.33</v>
      </c>
      <c r="AX15" s="41">
        <v>0.3</v>
      </c>
      <c r="AY15" s="41">
        <v>0.6</v>
      </c>
      <c r="AZ15" s="41">
        <v>0.15</v>
      </c>
      <c r="BA15" s="41">
        <v>0.06</v>
      </c>
      <c r="BB15" t="s">
        <v>62</v>
      </c>
    </row>
    <row r="16" spans="2:54" x14ac:dyDescent="0.3">
      <c r="B16" s="2" t="s">
        <v>7</v>
      </c>
      <c r="C16" s="1" t="str">
        <f>_xlfn.CONCAT(":1074A000060501",C$12,"8C",IntelHexChecksum(_xlfn.CONCAT("1074A000060501",C$12,"8C")))</f>
        <v>:1074A000060501EB0146D0004507015798A9538C0A</v>
      </c>
      <c r="AN16" s="4">
        <f t="shared" si="0"/>
        <v>518</v>
      </c>
      <c r="AO16">
        <v>11</v>
      </c>
      <c r="AP16" s="4" cm="1">
        <f t="array" ref="AP16">PQ2nits((2055+65*AO16)/(2055+31*65))</f>
        <v>518.90120035135783</v>
      </c>
      <c r="AU16" s="6" t="s">
        <v>52</v>
      </c>
      <c r="AV16" s="41">
        <v>0.70799999999999996</v>
      </c>
      <c r="AW16" s="41">
        <v>0.29199999999999998</v>
      </c>
      <c r="AX16" s="41">
        <v>0.17</v>
      </c>
      <c r="AY16" s="41">
        <v>0.79700000000000004</v>
      </c>
      <c r="AZ16" s="41">
        <v>0.13100000000000001</v>
      </c>
      <c r="BA16" s="41">
        <v>4.5999999999999999E-2</v>
      </c>
      <c r="BB16" t="s">
        <v>60</v>
      </c>
    </row>
    <row r="17" spans="2:54" x14ac:dyDescent="0.3">
      <c r="B17" s="2" t="s">
        <v>8</v>
      </c>
      <c r="C17" s="1" t="str">
        <f>_xlfn.CONCAT(":10899000000000000000",C$13,"0605018C0AD08A20E0",IntelHexChecksum((_xlfn.CONCAT("10899000000000000000",C$13,"0605018C0AD08A20E0"))))</f>
        <v>:10899000000000000000A00605018C0AD08A20E03B</v>
      </c>
      <c r="AN17" s="4">
        <f t="shared" si="0"/>
        <v>601</v>
      </c>
      <c r="AO17">
        <v>12</v>
      </c>
      <c r="AP17" s="4" cm="1">
        <f t="array" ref="AP17">PQ2nits((2055+65*AO17)/(2055+31*65))</f>
        <v>601.47603811806903</v>
      </c>
      <c r="AU17" s="6" t="s">
        <v>53</v>
      </c>
      <c r="AV17" s="41">
        <v>0.68</v>
      </c>
      <c r="AW17" s="41">
        <v>0.32</v>
      </c>
      <c r="AX17" s="41">
        <v>0.26500000000000001</v>
      </c>
      <c r="AY17" s="41">
        <v>0.69</v>
      </c>
      <c r="AZ17" s="41">
        <v>0.15</v>
      </c>
      <c r="BA17" s="41">
        <v>0.06</v>
      </c>
      <c r="BB17" t="s">
        <v>61</v>
      </c>
    </row>
    <row r="18" spans="2:54" x14ac:dyDescent="0.3">
      <c r="B18" s="1" t="s">
        <v>9</v>
      </c>
      <c r="C18" s="1" t="str">
        <f>_xlfn.CONCAT(":108A9000201820282038200000000000000000",C$13,IntelHexChecksum(_xlfn.CONCAT("108A9000201820282038200000000000000000",C$13)))</f>
        <v>:108A9000201820282038200000000000000000A03E</v>
      </c>
      <c r="AN18" s="4">
        <f t="shared" si="0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AN19" s="4">
        <f t="shared" si="0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AN20" s="4">
        <f t="shared" si="0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AN21" s="4">
        <f t="shared" si="0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AN22" s="4">
        <f t="shared" si="0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AN23" s="4">
        <f t="shared" si="0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AN24" s="4">
        <f t="shared" si="0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AN25" s="4">
        <f t="shared" si="0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AN26" s="4">
        <f t="shared" si="0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AN27" s="4">
        <f t="shared" si="0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AN28" s="4">
        <f t="shared" si="0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AN29" s="4">
        <f t="shared" si="0"/>
        <v>3501</v>
      </c>
      <c r="AO29">
        <v>24</v>
      </c>
      <c r="AP29" s="4" cm="1">
        <f t="array" ref="AP29">PQ2nits((2055+65*AO29)/(2055+31*65))</f>
        <v>3501.3151049329572</v>
      </c>
    </row>
    <row r="30" spans="2:54" x14ac:dyDescent="0.3">
      <c r="AN30" s="4">
        <f t="shared" si="0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AN31" s="4">
        <f t="shared" si="0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AN32" s="4">
        <f t="shared" si="0"/>
        <v>5467</v>
      </c>
      <c r="AO32">
        <v>27</v>
      </c>
      <c r="AP32" s="4" cm="1">
        <f t="array" ref="AP32">PQ2nits((2055+65*AO32)/(2055+31*65))</f>
        <v>5467.8779662038578</v>
      </c>
    </row>
    <row r="33" spans="40:42" x14ac:dyDescent="0.3">
      <c r="AN33" s="4">
        <f t="shared" si="0"/>
        <v>6351</v>
      </c>
      <c r="AO33">
        <v>28</v>
      </c>
      <c r="AP33" s="4" cm="1">
        <f t="array" ref="AP33">PQ2nits((2055+65*AO33)/(2055+31*65))</f>
        <v>6351.3914286654081</v>
      </c>
    </row>
    <row r="34" spans="40:42" x14ac:dyDescent="0.3">
      <c r="AN34" s="4">
        <f t="shared" si="0"/>
        <v>7382</v>
      </c>
      <c r="AO34">
        <v>29</v>
      </c>
      <c r="AP34" s="4" cm="1">
        <f t="array" ref="AP34">PQ2nits((2055+65*AO34)/(2055+31*65))</f>
        <v>7382.9315427440533</v>
      </c>
    </row>
    <row r="35" spans="40:42" x14ac:dyDescent="0.3">
      <c r="AN35" s="4">
        <f t="shared" si="0"/>
        <v>8588</v>
      </c>
      <c r="AO35">
        <v>30</v>
      </c>
      <c r="AP35" s="4" cm="1">
        <f t="array" ref="AP35">PQ2nits((2055+65*AO35)/(2055+31*65))</f>
        <v>8588.7301910478836</v>
      </c>
    </row>
    <row r="36" spans="40:42" x14ac:dyDescent="0.3">
      <c r="AN36" s="4">
        <f t="shared" si="0"/>
        <v>10000</v>
      </c>
      <c r="AO36">
        <v>31</v>
      </c>
      <c r="AP36" s="4" cm="1">
        <f t="array" ref="AP36">PQ2nits((2055+65*AO36)/(2055+31*65))</f>
        <v>10000</v>
      </c>
    </row>
  </sheetData>
  <sheetProtection sheet="1" objects="1" scenarios="1"/>
  <mergeCells count="8">
    <mergeCell ref="X5:Y5"/>
    <mergeCell ref="C6:G6"/>
    <mergeCell ref="H5:K5"/>
    <mergeCell ref="L5:N5"/>
    <mergeCell ref="O5:Q5"/>
    <mergeCell ref="R5:S5"/>
    <mergeCell ref="T5:U5"/>
    <mergeCell ref="V5:W5"/>
  </mergeCells>
  <conditionalFormatting sqref="N7">
    <cfRule type="expression" dxfId="3" priority="5">
      <formula>$J$7="Not Supported"</formula>
    </cfRule>
  </conditionalFormatting>
  <conditionalFormatting sqref="S7">
    <cfRule type="expression" dxfId="2" priority="4">
      <formula>$U$7="Supported"</formula>
    </cfRule>
  </conditionalFormatting>
  <conditionalFormatting sqref="U7">
    <cfRule type="expression" dxfId="1" priority="3">
      <formula>$S$7="Supported"</formula>
    </cfRule>
  </conditionalFormatting>
  <conditionalFormatting sqref="S7 U7">
    <cfRule type="expression" dxfId="0" priority="1" stopIfTrue="1">
      <formula>IF(AND($S$7="Supported",$U$7="Supported"),TRUE,FALSE)</formula>
    </cfRule>
  </conditionalFormatting>
  <dataValidations count="5">
    <dataValidation type="list" allowBlank="1" showInputMessage="1" showErrorMessage="1" sqref="J7:K7 M7 S7 U7" xr:uid="{7FEC5D88-C6EC-4251-B671-1BE4ACE3633B}">
      <formula1>"Supported, Not Supported"</formula1>
    </dataValidation>
    <dataValidation type="list" allowBlank="1" showInputMessage="1" showErrorMessage="1" sqref="N7" xr:uid="{F08005DB-62B1-466E-8C16-806C27DAF7DC}">
      <formula1>$AR$5:$AR$9</formula1>
    </dataValidation>
    <dataValidation type="list" allowBlank="1" showInputMessage="1" showErrorMessage="1" sqref="Q7" xr:uid="{536243BA-50E0-4F58-9EB4-50C6A18BC0EA}">
      <formula1>$AU$5:$AU$8</formula1>
    </dataValidation>
    <dataValidation type="list" allowBlank="1" showInputMessage="1" showErrorMessage="1" sqref="I3" xr:uid="{C575FEDF-137C-445A-A5C6-A70E6FF285BD}">
      <formula1>$AU$15:$AU$17</formula1>
    </dataValidation>
    <dataValidation type="list" allowBlank="1" showInputMessage="1" showErrorMessage="1" sqref="O7" xr:uid="{55176498-3EAA-419A-B48D-C5EE25135590}">
      <formula1>$AN$5:$AN$36</formula1>
    </dataValidation>
  </dataValidations>
  <pageMargins left="0.7" right="0.7" top="0.75" bottom="0.75" header="0.3" footer="0.3"/>
  <pageSetup orientation="portrait" horizontalDpi="0" verticalDpi="0" r:id="rId1"/>
  <ignoredErrors>
    <ignoredError sqref="T8" formula="1"/>
    <ignoredError sqref="L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" r:id="rId4" name="Button 28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Custom FW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2022-10-04T15:15:43Z</dcterms:modified>
</cp:coreProperties>
</file>