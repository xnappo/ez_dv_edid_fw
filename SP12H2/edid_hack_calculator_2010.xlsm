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EDC268FB-A6D9-4F85-9351-BA75BCEFCF70}" xr6:coauthVersionLast="47" xr6:coauthVersionMax="47" xr10:uidLastSave="{00000000-0000-0000-0000-000000000000}"/>
  <bookViews>
    <workbookView xWindow="17752" yWindow="4378" windowWidth="19734" windowHeight="18293" xr2:uid="{DE808AFE-8AFE-4111-8161-9EF8B03B2A2C}"/>
  </bookViews>
  <sheets>
    <sheet name="Custom DV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5" l="1"/>
  <c r="Q5" i="5"/>
  <c r="O5" i="5"/>
  <c r="M5" i="5"/>
  <c r="C14" i="5" a="1"/>
  <c r="G8" i="5" a="1"/>
  <c r="C14" i="5" l="1"/>
  <c r="G8" i="5"/>
  <c r="C5" i="5" l="1" a="1"/>
  <c r="AP7" i="5" a="1"/>
  <c r="AQ22" i="5" a="1"/>
  <c r="AQ24" i="5" a="1"/>
  <c r="AP34" i="5" a="1"/>
  <c r="AQ10" i="5" a="1"/>
  <c r="AP8" i="5" a="1"/>
  <c r="AP14" i="5" a="1"/>
  <c r="AP31" i="5" a="1"/>
  <c r="AP28" i="5" a="1"/>
  <c r="AQ17" i="5" a="1"/>
  <c r="AP21" i="5" a="1"/>
  <c r="AQ15" i="5" a="1"/>
  <c r="AP6" i="5" a="1"/>
  <c r="AP16" i="5" a="1"/>
  <c r="AQ9" i="5" a="1"/>
  <c r="AQ18" i="5" a="1"/>
  <c r="AP13" i="5" a="1"/>
  <c r="AQ8" i="5" a="1"/>
  <c r="AQ21" i="5" a="1"/>
  <c r="AQ5" i="5" a="1"/>
  <c r="AP20" i="5" a="1"/>
  <c r="AQ12" i="5" a="1"/>
  <c r="AQ7" i="5" a="1"/>
  <c r="AQ31" i="5" a="1"/>
  <c r="AP12" i="5" a="1"/>
  <c r="AP33" i="5" a="1"/>
  <c r="AP25" i="5" a="1"/>
  <c r="AQ11" i="5" a="1"/>
  <c r="AP35" i="5" a="1"/>
  <c r="AQ30" i="5" a="1"/>
  <c r="AQ32" i="5" a="1"/>
  <c r="AQ34" i="5" a="1"/>
  <c r="AP27" i="5" a="1"/>
  <c r="AP9" i="5" a="1"/>
  <c r="AP15" i="5" a="1"/>
  <c r="AQ13" i="5" a="1"/>
  <c r="AP5" i="5" a="1"/>
  <c r="AP10" i="5" a="1"/>
  <c r="AQ14" i="5" a="1"/>
  <c r="AQ16" i="5" a="1"/>
  <c r="AP23" i="5" a="1"/>
  <c r="AQ25" i="5" a="1"/>
  <c r="AP30" i="5" a="1"/>
  <c r="AQ6" i="5" a="1"/>
  <c r="AP18" i="5" a="1"/>
  <c r="AP29" i="5" a="1"/>
  <c r="AP19" i="5" a="1"/>
  <c r="AQ26" i="5" a="1"/>
  <c r="AQ19" i="5" a="1"/>
  <c r="AP32" i="5" a="1"/>
  <c r="AQ20" i="5" a="1"/>
  <c r="AQ27" i="5" a="1"/>
  <c r="AP11" i="5" a="1"/>
  <c r="AQ35" i="5" a="1"/>
  <c r="AQ28" i="5" a="1"/>
  <c r="AQ29" i="5" a="1"/>
  <c r="AP36" i="5" a="1"/>
  <c r="AP17" i="5" a="1"/>
  <c r="AQ33" i="5" a="1"/>
  <c r="AQ36" i="5" a="1"/>
  <c r="AP24" i="5" a="1"/>
  <c r="AQ23" i="5" a="1"/>
  <c r="AP22" i="5" a="1"/>
  <c r="AP26" i="5" a="1"/>
  <c r="C5" i="5" l="1"/>
  <c r="AP26" i="5"/>
  <c r="AP22" i="5"/>
  <c r="AQ23" i="5"/>
  <c r="AP24" i="5"/>
  <c r="AQ36" i="5"/>
  <c r="AQ33" i="5"/>
  <c r="AP17" i="5"/>
  <c r="AP36" i="5"/>
  <c r="AQ29" i="5"/>
  <c r="AQ28" i="5"/>
  <c r="AQ35" i="5"/>
  <c r="AP11" i="5"/>
  <c r="AQ27" i="5"/>
  <c r="AQ20" i="5"/>
  <c r="AP32" i="5"/>
  <c r="AQ19" i="5"/>
  <c r="AQ26" i="5"/>
  <c r="AP19" i="5"/>
  <c r="AP29" i="5"/>
  <c r="AP18" i="5"/>
  <c r="AQ6" i="5"/>
  <c r="AP30" i="5"/>
  <c r="AQ25" i="5"/>
  <c r="AP23" i="5"/>
  <c r="AQ16" i="5"/>
  <c r="AQ14" i="5"/>
  <c r="AP10" i="5"/>
  <c r="AP5" i="5"/>
  <c r="AQ13" i="5"/>
  <c r="AP15" i="5"/>
  <c r="AP9" i="5"/>
  <c r="AP27" i="5"/>
  <c r="AQ34" i="5"/>
  <c r="AQ32" i="5"/>
  <c r="AQ30" i="5"/>
  <c r="AP35" i="5"/>
  <c r="AQ11" i="5"/>
  <c r="AP25" i="5"/>
  <c r="AP33" i="5"/>
  <c r="AP12" i="5"/>
  <c r="AQ31" i="5"/>
  <c r="AQ7" i="5"/>
  <c r="AQ12" i="5"/>
  <c r="AP20" i="5"/>
  <c r="AQ5" i="5"/>
  <c r="AQ21" i="5"/>
  <c r="AQ8" i="5"/>
  <c r="AP13" i="5"/>
  <c r="AQ18" i="5"/>
  <c r="AQ9" i="5"/>
  <c r="AP16" i="5"/>
  <c r="AP6" i="5"/>
  <c r="AQ15" i="5"/>
  <c r="AP21" i="5"/>
  <c r="AQ17" i="5"/>
  <c r="AP28" i="5"/>
  <c r="AP31" i="5"/>
  <c r="AP14" i="5"/>
  <c r="AP8" i="5"/>
  <c r="AQ10" i="5"/>
  <c r="AP34" i="5"/>
  <c r="AQ24" i="5"/>
  <c r="AQ22" i="5"/>
  <c r="AP7" i="5"/>
  <c r="G5" i="5" a="1"/>
  <c r="G5" i="5" l="1"/>
  <c r="P8" i="5"/>
  <c r="N8" i="5"/>
  <c r="L8" i="5"/>
  <c r="I8" i="5"/>
  <c r="H8" i="5"/>
  <c r="F8" i="5"/>
  <c r="E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N5" i="5" l="1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J8" i="5" l="1"/>
  <c r="J5" i="5" a="1"/>
  <c r="J5" i="5" l="1"/>
  <c r="C12" i="5" a="1"/>
  <c r="C12" i="5" l="1"/>
  <c r="C13" i="5" a="1"/>
  <c r="C13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<sst xmlns="http://schemas.openxmlformats.org/spreadsheetml/2006/main" count="77" uniqueCount="67">
  <si>
    <t>DV String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</si>
  <si>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</si>
  <si>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</si>
  <si>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</si>
  <si>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</si>
  <si>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</si>
  <si>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</si>
  <si>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</si>
  <si>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</si>
  <si>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</si>
  <si>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</si>
  <si>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</si>
  <si>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</si>
  <si>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</si>
  <si>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</si>
  <si>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</si>
  <si>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</si>
  <si>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</si>
  <si>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</si>
  <si>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</si>
  <si>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</si>
  <si>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</si>
  <si>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</si>
  <si>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</si>
  <si>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</si>
  <si>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</si>
  <si>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</si>
  <si>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</si>
  <si>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</si>
  <si>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</si>
  <si>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</si>
  <si>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</si>
  <si>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</si>
  <si>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</si>
  <si>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</si>
  <si>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</si>
  <si>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</si>
  <si>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</si>
  <si>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</si>
  <si>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</si>
  <si>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</si>
  <si>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</si>
  <si>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</si>
  <si>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</si>
  <si>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</si>
  <si>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</si>
  <si>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</si>
  <si>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</si>
  <si>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</si>
  <si>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</si>
  <si>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</si>
  <si>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</si>
  <si>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</si>
  <si>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</si>
  <si>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</si>
  <si>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</si>
  <si>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</si>
  <si>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</si>
  <si>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</si>
  <si>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</si>
  <si>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</si>
  <si>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</si>
  <si>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</si>
  <si>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C:\exes\gd32\EZ-SP12H2_APP_DFU_GD32_Ver2.06(FB4D).hex</t>
  </si>
  <si>
    <t>C:\exes\gd32\ezcoo_fw_DCI-P3_ML385.hex</t>
  </si>
  <si>
    <t>MaxL nits</t>
  </si>
  <si>
    <t>MinL 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</si>
</sst>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0" fontId="0" fillId="2" borderId="21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tabSelected="1" workbookViewId="0">
      <selection activeCell="C14" sqref="C14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0" t="s">
        <v>27</v>
      </c>
      <c r="I3" s="32" t="s">
        <v>40</v>
      </c>
    </row>
    <row r="4" spans="2:54" ht="15" thickBot="1" x14ac:dyDescent="0.35">
      <c r="AO4" t="s">
        <v>21</v>
      </c>
      <c r="AP4" t="s">
        <v>65</v>
      </c>
      <c r="AQ4" t="s">
        <v>66</v>
      </c>
      <c r="AR4" t="s">
        <v>5</v>
      </c>
      <c r="AS4" t="s">
        <v>28</v>
      </c>
      <c r="AU4" t="s">
        <v>29</v>
      </c>
      <c r="AV4" t="s">
        <v>30</v>
      </c>
    </row>
    <row r="5" spans="2:54" ht="15" thickBot="1" x14ac:dyDescent="0.35">
      <c r="B5" s="55" t="s">
        <v>61</v>
      </c>
      <c r="C5" s="63" t="str" cm="1">
        <f t="array" ref="C5">DEC2HEX(mybitlshift(BIN2DEC(C8),5)+mybitlshift(BIN2DEC(D8),2)+mybitlshift(BIN2DEC(E8),1)+BIN2DEC(F8))</f>
        <v>1</v>
      </c>
      <c r="D5" s="63"/>
      <c r="E5" s="63"/>
      <c r="F5" s="64"/>
      <c r="G5" s="65" t="str" cm="1">
        <f t="array" ref="G5">DEC2HEX(mybitlshift(BIN2DEC(G8),3)+mybitlshift(BIN2DEC(H8),2)+BIN2DEC(I8),2)</f>
        <v>03</v>
      </c>
      <c r="H5" s="61"/>
      <c r="I5" s="62"/>
      <c r="J5" s="65" t="str" cm="1">
        <f t="array" ref="J5">DEC2HEX(mybitlshift(BIN2DEC(J8),3)+mybitlshift(BIN2DEC(K8),1)+BIN2DEC(L8),2)</f>
        <v>00</v>
      </c>
      <c r="K5" s="61"/>
      <c r="L5" s="62"/>
      <c r="M5" s="61" t="str">
        <f>BIN2HEX(CONCATENATE(M8,N8),2)</f>
        <v>86</v>
      </c>
      <c r="N5" s="62"/>
      <c r="O5" s="61" t="str">
        <f>BIN2HEX(CONCATENATE(O8,P8),2)</f>
        <v>60</v>
      </c>
      <c r="P5" s="62"/>
      <c r="Q5" s="61" t="str">
        <f>BIN2HEX(CONCATENATE(Q8,R8),2)</f>
        <v>76</v>
      </c>
      <c r="R5" s="62"/>
      <c r="S5" s="61" t="str">
        <f>BIN2HEX(CONCATENATE(S8,T8),2)</f>
        <v>8F</v>
      </c>
      <c r="T5" s="62"/>
      <c r="AN5" s="2">
        <f>INT(AP5)</f>
        <v>96</v>
      </c>
      <c r="AO5">
        <v>0</v>
      </c>
      <c r="AP5" s="2" cm="1">
        <f t="array" ref="AP5">PQ2nits((2055+65*AO5)/(2055+31*65))</f>
        <v>96.892947435897241</v>
      </c>
      <c r="AQ5" cm="1">
        <f t="array" ref="AQ5">ROUND(PQ2nits((20*$AO5)/(2055+31*65)),3)</f>
        <v>0</v>
      </c>
      <c r="AR5" s="9" t="s">
        <v>18</v>
      </c>
      <c r="AS5" s="8" t="s">
        <v>3</v>
      </c>
      <c r="AU5" s="10" t="s">
        <v>31</v>
      </c>
      <c r="AV5" s="4" t="s">
        <v>3</v>
      </c>
    </row>
    <row r="6" spans="2:54" ht="30.85" customHeight="1" x14ac:dyDescent="0.3">
      <c r="B6" s="54" t="s">
        <v>62</v>
      </c>
      <c r="C6" s="50" t="s">
        <v>6</v>
      </c>
      <c r="D6" s="25" t="s">
        <v>8</v>
      </c>
      <c r="E6" s="26" t="s">
        <v>13</v>
      </c>
      <c r="F6" s="27" t="s">
        <v>4</v>
      </c>
      <c r="G6" s="28" t="s">
        <v>56</v>
      </c>
      <c r="H6" s="26" t="s">
        <v>36</v>
      </c>
      <c r="I6" s="29" t="s">
        <v>55</v>
      </c>
      <c r="J6" s="28" t="s">
        <v>57</v>
      </c>
      <c r="K6" s="25" t="s">
        <v>7</v>
      </c>
      <c r="L6" s="27" t="s">
        <v>33</v>
      </c>
      <c r="M6" s="25" t="s">
        <v>54</v>
      </c>
      <c r="N6" s="27" t="s">
        <v>20</v>
      </c>
      <c r="O6" s="25" t="s">
        <v>53</v>
      </c>
      <c r="P6" s="27" t="s">
        <v>19</v>
      </c>
      <c r="Q6" s="25" t="s">
        <v>52</v>
      </c>
      <c r="R6" s="27" t="s">
        <v>10</v>
      </c>
      <c r="S6" s="25" t="s">
        <v>51</v>
      </c>
      <c r="T6" s="27" t="s">
        <v>9</v>
      </c>
      <c r="AN6" s="2">
        <f>INT(AP6)</f>
        <v>113</v>
      </c>
      <c r="AO6">
        <v>1</v>
      </c>
      <c r="AP6" s="2" cm="1">
        <f t="array" ref="AP6">PQ2nits((2055+65*AO6)/(2055+31*65))</f>
        <v>113.54849272653058</v>
      </c>
      <c r="AQ6" cm="1">
        <f t="array" ref="AQ6">ROUND(PQ2nits((20*$AO6)/(2055+31*65)),3)</f>
        <v>1E-3</v>
      </c>
      <c r="AR6" s="9" t="s">
        <v>17</v>
      </c>
      <c r="AS6" s="8" t="s">
        <v>2</v>
      </c>
      <c r="AU6" s="10" t="s">
        <v>32</v>
      </c>
      <c r="AV6" s="4" t="s">
        <v>2</v>
      </c>
    </row>
    <row r="7" spans="2:54" x14ac:dyDescent="0.3">
      <c r="B7" s="53"/>
      <c r="C7" s="51">
        <v>2</v>
      </c>
      <c r="D7" s="7" t="s">
        <v>16</v>
      </c>
      <c r="E7" s="11" t="s">
        <v>15</v>
      </c>
      <c r="F7" s="11" t="s">
        <v>14</v>
      </c>
      <c r="G7" s="60">
        <v>0</v>
      </c>
      <c r="H7" s="11" t="s">
        <v>15</v>
      </c>
      <c r="I7" s="12" t="s">
        <v>23</v>
      </c>
      <c r="J7" s="22">
        <v>385</v>
      </c>
      <c r="K7" s="23">
        <v>0</v>
      </c>
      <c r="L7" s="13" t="s">
        <v>31</v>
      </c>
      <c r="M7" s="7">
        <f>INDEX(AX15:AX17,MATCH(I3,AU15:AU17,0))</f>
        <v>0.26500000000000001</v>
      </c>
      <c r="N7" s="31" t="s">
        <v>15</v>
      </c>
      <c r="O7" s="20">
        <f>INDEX(AY15:AY17,MATCH($I$3,$AU$15:$AU$17,0))</f>
        <v>0.69</v>
      </c>
      <c r="P7" s="31" t="s">
        <v>15</v>
      </c>
      <c r="Q7" s="20">
        <f>INDEX(AV15:AV17,MATCH($I$3,$AU$15:$AU$17,0))</f>
        <v>0.68</v>
      </c>
      <c r="R7" s="21">
        <f>INDEX(AZ15:AZ17,MATCH($I$3,$AU$15:$AU$17,0))</f>
        <v>0.15</v>
      </c>
      <c r="S7" s="7">
        <f>INDEX(AW15:AW17,MATCH($I$3,$AU$15:$AU$17,0))</f>
        <v>0.32</v>
      </c>
      <c r="T7" s="21">
        <f>INDEX(BA15:BA17,MATCH($I$3,$AU$15:$AU$17,0))</f>
        <v>0.06</v>
      </c>
      <c r="AN7" s="2">
        <f>INT(AP7)</f>
        <v>132</v>
      </c>
      <c r="AO7">
        <v>2</v>
      </c>
      <c r="AP7" s="2" cm="1">
        <f t="array" ref="AP7">PQ2nits((2055+65*AO7)/(2055+31*65))</f>
        <v>132.85537796729577</v>
      </c>
      <c r="AQ7" cm="1">
        <f t="array" ref="AQ7">ROUND(PQ2nits((20*$AO7)/(2055+31*65)),3)</f>
        <v>2E-3</v>
      </c>
      <c r="AR7" s="9" t="s">
        <v>22</v>
      </c>
      <c r="AS7" s="8" t="s">
        <v>24</v>
      </c>
      <c r="AU7" s="10" t="s">
        <v>34</v>
      </c>
      <c r="AV7" s="4" t="s">
        <v>24</v>
      </c>
    </row>
    <row r="8" spans="2:54" s="5" customFormat="1" ht="15" thickBot="1" x14ac:dyDescent="0.35">
      <c r="B8" s="56"/>
      <c r="C8" s="52" t="s">
        <v>11</v>
      </c>
      <c r="D8" s="14" t="s">
        <v>12</v>
      </c>
      <c r="E8" s="15">
        <f>IF(EXACT(E7,"Supported"),1,0)</f>
        <v>0</v>
      </c>
      <c r="F8" s="15">
        <f>IF(EXACT(F7,"Supported"),1,0)</f>
        <v>1</v>
      </c>
      <c r="G8" s="59" t="str" cm="1">
        <f t="array" ref="G8">DEC2BIN(myXLOOKUP(G7,AQ5:AQ36,AO5:AO36),5)</f>
        <v>00000</v>
      </c>
      <c r="H8" s="15">
        <f>IF(EXACT(H7,"Supported"),1,0)</f>
        <v>0</v>
      </c>
      <c r="I8" s="16" t="str">
        <f>IF(EXACT(E7,"Not Supported"),"11",INDEX(AS5:AS8,MATCH(I7,AR5:AR8,0)))</f>
        <v>11</v>
      </c>
      <c r="J8" s="17" t="str">
        <f>DEC2BIN(VLOOKUP(J7,AN5:AO36,2),5)</f>
        <v>01001</v>
      </c>
      <c r="K8" s="15">
        <v>0</v>
      </c>
      <c r="L8" s="16" t="str">
        <f>VLOOKUP(L7,AU5:AV8,2)</f>
        <v>00</v>
      </c>
      <c r="M8" s="24" t="str">
        <f>DEC2BIN(M7/( 0.49609375/127),7)</f>
        <v>1000011</v>
      </c>
      <c r="N8" s="18">
        <f>IF(AND(EXACT(N7,"Supported"),EXACT(P7,"Not Supported")),1,0)</f>
        <v>0</v>
      </c>
      <c r="O8" s="24" t="str">
        <f>DEC2BIN((O7-0.5)/((0.99609375-0.5)/127),7)</f>
        <v>0110000</v>
      </c>
      <c r="P8" s="18">
        <f>IF(AND(EXACT(P7,"Supported"),EXACT(N7,"Not Supported")),1,0)</f>
        <v>0</v>
      </c>
      <c r="Q8" s="17" t="str">
        <f>DEC2BIN((Q7-0.625)/((0.74609375-0.625)/31),5)</f>
        <v>01110</v>
      </c>
      <c r="R8" s="16" t="str">
        <f>DEC2BIN((R7-0.125)/((0.15234375-0.125)/7),3)</f>
        <v>110</v>
      </c>
      <c r="S8" s="17" t="str">
        <f>DEC2BIN((S7-0.25)/((0.37109375-0.25)/31),5)</f>
        <v>10001</v>
      </c>
      <c r="T8" s="16" t="str">
        <f>DEC2BIN((T7-0.03125)/((0.05859375-0.03125)/7),3)</f>
        <v>111</v>
      </c>
      <c r="AK8"/>
      <c r="AL8"/>
      <c r="AM8"/>
      <c r="AN8" s="2">
        <f>INT(AP8)</f>
        <v>155</v>
      </c>
      <c r="AO8">
        <v>3</v>
      </c>
      <c r="AP8" s="2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8" t="s">
        <v>23</v>
      </c>
      <c r="AS8" s="8" t="s">
        <v>25</v>
      </c>
      <c r="AU8" s="10" t="s">
        <v>35</v>
      </c>
      <c r="AV8" s="6" t="s">
        <v>25</v>
      </c>
    </row>
    <row r="9" spans="2:54" ht="15" thickBot="1" x14ac:dyDescent="0.35">
      <c r="AN9" s="2">
        <f t="shared" ref="AN9:AN13" si="0">INT(AP9)</f>
        <v>181</v>
      </c>
      <c r="AO9">
        <v>4</v>
      </c>
      <c r="AP9" s="2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3" t="s">
        <v>26</v>
      </c>
      <c r="AS9">
        <v>11</v>
      </c>
    </row>
    <row r="10" spans="2:54" x14ac:dyDescent="0.3">
      <c r="B10" s="44" t="s">
        <v>59</v>
      </c>
      <c r="C10" s="35" t="s">
        <v>63</v>
      </c>
      <c r="D10" s="36"/>
      <c r="E10" s="36"/>
      <c r="F10" s="36"/>
      <c r="G10" s="36"/>
      <c r="H10" s="36"/>
      <c r="I10" s="36"/>
      <c r="J10" s="37"/>
      <c r="AN10" s="2">
        <f t="shared" si="0"/>
        <v>211</v>
      </c>
      <c r="AO10">
        <v>5</v>
      </c>
      <c r="AP10" s="2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3"/>
    </row>
    <row r="11" spans="2:54" ht="15" thickBot="1" x14ac:dyDescent="0.35">
      <c r="B11" s="45" t="s">
        <v>60</v>
      </c>
      <c r="C11" s="33" t="s">
        <v>64</v>
      </c>
      <c r="J11" s="38"/>
      <c r="AN11" s="2">
        <f t="shared" si="0"/>
        <v>245</v>
      </c>
      <c r="AO11">
        <v>6</v>
      </c>
      <c r="AP11" s="2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3"/>
    </row>
    <row r="12" spans="2:54" x14ac:dyDescent="0.3">
      <c r="B12" s="47" t="s">
        <v>0</v>
      </c>
      <c r="C12" s="48" t="str" cm="1">
        <f t="array" ref="C12">CONCAT_RNG(B5:T5)</f>
        <v>EB0146D000103008660768F</v>
      </c>
      <c r="D12" s="48"/>
      <c r="E12" s="48"/>
      <c r="F12" s="48"/>
      <c r="G12" s="48"/>
      <c r="H12" s="48"/>
      <c r="I12" s="48"/>
      <c r="J12" s="49"/>
      <c r="AN12" s="2">
        <f t="shared" si="0"/>
        <v>285</v>
      </c>
      <c r="AO12">
        <v>7</v>
      </c>
      <c r="AP12" s="2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6" t="s">
        <v>58</v>
      </c>
      <c r="C13" s="40" t="str" cm="1">
        <f t="array" ref="C13">EDIDCheckSum(C12)</f>
        <v>4D</v>
      </c>
      <c r="D13" s="34"/>
      <c r="E13" s="34"/>
      <c r="F13" s="34"/>
      <c r="G13" s="34"/>
      <c r="H13" s="34"/>
      <c r="I13" s="34"/>
      <c r="J13" s="39"/>
      <c r="AN13" s="2">
        <f t="shared" si="0"/>
        <v>332</v>
      </c>
      <c r="AO13">
        <v>8</v>
      </c>
      <c r="AP13" s="2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58" t="s">
        <v>1</v>
      </c>
      <c r="C14" s="41" t="str" cm="1">
        <f t="array" ref="C14">CONCATENATE(":1074A000060501",C$12,"8C",IntelHexChecksum(CONCATENATE("1074A000060501",C$12,"8C")))</f>
        <v>:1074A000060501EB0146D000103008660768F8CAD</v>
      </c>
      <c r="D14" s="42"/>
      <c r="E14" s="42"/>
      <c r="F14" s="42"/>
      <c r="G14" s="42"/>
      <c r="H14" s="42"/>
      <c r="I14" s="42"/>
      <c r="J14" s="43"/>
      <c r="AN14" s="2">
        <f>INT(AP14)</f>
        <v>385</v>
      </c>
      <c r="AO14">
        <v>9</v>
      </c>
      <c r="AP14" s="2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37</v>
      </c>
      <c r="AV14" t="s">
        <v>41</v>
      </c>
      <c r="AW14" t="s">
        <v>42</v>
      </c>
      <c r="AX14" t="s">
        <v>43</v>
      </c>
      <c r="AY14" t="s">
        <v>44</v>
      </c>
      <c r="AZ14" t="s">
        <v>45</v>
      </c>
      <c r="BA14" t="s">
        <v>46</v>
      </c>
      <c r="BB14" t="s">
        <v>50</v>
      </c>
    </row>
    <row r="15" spans="2:54" x14ac:dyDescent="0.3">
      <c r="C15" s="1"/>
      <c r="AN15" s="2">
        <f t="shared" ref="AN15:AN36" si="1">INT(AP15)</f>
        <v>447</v>
      </c>
      <c r="AO15">
        <v>10</v>
      </c>
      <c r="AP15" s="2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4" t="s">
        <v>38</v>
      </c>
      <c r="AV15" s="19">
        <v>0.64</v>
      </c>
      <c r="AW15" s="19">
        <v>0.33</v>
      </c>
      <c r="AX15" s="19">
        <v>0.3</v>
      </c>
      <c r="AY15" s="19">
        <v>0.6</v>
      </c>
      <c r="AZ15" s="19">
        <v>0.15</v>
      </c>
      <c r="BA15" s="19">
        <v>0.06</v>
      </c>
      <c r="BB15" t="s">
        <v>49</v>
      </c>
    </row>
    <row r="16" spans="2:54" x14ac:dyDescent="0.3">
      <c r="AN16" s="2">
        <f t="shared" si="1"/>
        <v>518</v>
      </c>
      <c r="AO16">
        <v>11</v>
      </c>
      <c r="AP16" s="2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4" t="s">
        <v>39</v>
      </c>
      <c r="AV16" s="19">
        <v>0.70799999999999996</v>
      </c>
      <c r="AW16" s="19">
        <v>0.29199999999999998</v>
      </c>
      <c r="AX16" s="19">
        <v>0.17</v>
      </c>
      <c r="AY16" s="19">
        <v>0.79700000000000004</v>
      </c>
      <c r="AZ16" s="19">
        <v>0.13100000000000001</v>
      </c>
      <c r="BA16" s="19">
        <v>4.5999999999999999E-2</v>
      </c>
      <c r="BB16" t="s">
        <v>47</v>
      </c>
    </row>
    <row r="17" spans="40:54" x14ac:dyDescent="0.3">
      <c r="AN17" s="2">
        <f t="shared" si="1"/>
        <v>601</v>
      </c>
      <c r="AO17">
        <v>12</v>
      </c>
      <c r="AP17" s="2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4" t="s">
        <v>40</v>
      </c>
      <c r="AV17" s="19">
        <v>0.68</v>
      </c>
      <c r="AW17" s="19">
        <v>0.32</v>
      </c>
      <c r="AX17" s="19">
        <v>0.26500000000000001</v>
      </c>
      <c r="AY17" s="19">
        <v>0.69</v>
      </c>
      <c r="AZ17" s="19">
        <v>0.15</v>
      </c>
      <c r="BA17" s="19">
        <v>0.06</v>
      </c>
      <c r="BB17" t="s">
        <v>48</v>
      </c>
    </row>
    <row r="18" spans="40:54" x14ac:dyDescent="0.3">
      <c r="AN18" s="2">
        <f t="shared" si="1"/>
        <v>696</v>
      </c>
      <c r="AO18">
        <v>13</v>
      </c>
      <c r="AP18" s="2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2">
        <f t="shared" si="1"/>
        <v>807</v>
      </c>
      <c r="AO19">
        <v>14</v>
      </c>
      <c r="AP19" s="2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2">
        <f t="shared" si="1"/>
        <v>934</v>
      </c>
      <c r="AO20">
        <v>15</v>
      </c>
      <c r="AP20" s="2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2">
        <f t="shared" si="1"/>
        <v>1082</v>
      </c>
      <c r="AO21">
        <v>16</v>
      </c>
      <c r="AP21" s="2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2">
        <f t="shared" si="1"/>
        <v>1252</v>
      </c>
      <c r="AO22">
        <v>17</v>
      </c>
      <c r="AP22" s="2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2">
        <f t="shared" si="1"/>
        <v>1450</v>
      </c>
      <c r="AO23">
        <v>18</v>
      </c>
      <c r="AP23" s="2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2">
        <f t="shared" si="1"/>
        <v>1678</v>
      </c>
      <c r="AO24">
        <v>19</v>
      </c>
      <c r="AP24" s="2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2">
        <f t="shared" si="1"/>
        <v>1943</v>
      </c>
      <c r="AO25">
        <v>20</v>
      </c>
      <c r="AP25" s="2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2">
        <f t="shared" si="1"/>
        <v>2250</v>
      </c>
      <c r="AO26">
        <v>21</v>
      </c>
      <c r="AP26" s="2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2">
        <f t="shared" si="1"/>
        <v>2607</v>
      </c>
      <c r="AO27">
        <v>22</v>
      </c>
      <c r="AP27" s="2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2">
        <f t="shared" si="1"/>
        <v>3020</v>
      </c>
      <c r="AO28">
        <v>23</v>
      </c>
      <c r="AP28" s="2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2">
        <f t="shared" si="1"/>
        <v>3501</v>
      </c>
      <c r="AO29">
        <v>24</v>
      </c>
      <c r="AP29" s="2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2">
        <f t="shared" si="1"/>
        <v>4060</v>
      </c>
      <c r="AO30">
        <v>25</v>
      </c>
      <c r="AP30" s="2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2">
        <f t="shared" si="1"/>
        <v>4710</v>
      </c>
      <c r="AO31">
        <v>26</v>
      </c>
      <c r="AP31" s="2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2">
        <f t="shared" si="1"/>
        <v>5467</v>
      </c>
      <c r="AO32">
        <v>27</v>
      </c>
      <c r="AP32" s="2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2">
        <f t="shared" si="1"/>
        <v>6351</v>
      </c>
      <c r="AO33">
        <v>28</v>
      </c>
      <c r="AP33" s="2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2">
        <f t="shared" si="1"/>
        <v>7382</v>
      </c>
      <c r="AO34">
        <v>29</v>
      </c>
      <c r="AP34" s="2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2">
        <f t="shared" si="1"/>
        <v>8588</v>
      </c>
      <c r="AO35">
        <v>30</v>
      </c>
      <c r="AP35" s="2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2">
        <f t="shared" si="1"/>
        <v>10000</v>
      </c>
      <c r="AO36">
        <v>31</v>
      </c>
      <c r="AP36" s="2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7"/>
      <c r="AQ40" s="57"/>
    </row>
    <row r="41" spans="40:43" x14ac:dyDescent="0.3">
      <c r="AP41" s="57"/>
      <c r="AQ41" s="57"/>
    </row>
    <row r="42" spans="40:43" x14ac:dyDescent="0.3">
      <c r="AP42" s="57"/>
      <c r="AQ42" s="57"/>
    </row>
    <row r="43" spans="40:43" x14ac:dyDescent="0.3">
      <c r="AP43" s="57"/>
      <c r="AQ43" s="57"/>
    </row>
    <row r="44" spans="40:43" x14ac:dyDescent="0.3">
      <c r="AP44" s="57"/>
      <c r="AQ44" s="57"/>
    </row>
    <row r="45" spans="40:43" x14ac:dyDescent="0.3">
      <c r="AP45" s="57"/>
      <c r="AQ45" s="57"/>
    </row>
    <row r="46" spans="40:43" x14ac:dyDescent="0.3">
      <c r="AP46" s="57"/>
      <c r="AQ46" s="57"/>
    </row>
    <row r="47" spans="40:43" x14ac:dyDescent="0.3">
      <c r="AP47" s="57"/>
      <c r="AQ47" s="57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2023-02-28T00:34:05Z</dcterms:modified>
</cp:coreProperties>
</file>