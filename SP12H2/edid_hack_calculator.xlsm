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SP12H2\"/>
    </mc:Choice>
  </mc:AlternateContent>
  <xr:revisionPtr revIDLastSave="0" documentId="13_ncr:1_{814D3393-45F6-47D9-AB0C-F4E2A0DCA6E8}" xr6:coauthVersionLast="47" xr6:coauthVersionMax="47" xr10:uidLastSave="{00000000-0000-0000-0000-000000000000}"/>
  <bookViews>
    <workbookView xWindow="19423" yWindow="2154" windowWidth="19434" windowHeight="21059" firstSheet="8" activeTab="10" xr2:uid="{DE808AFE-8AFE-4111-8161-9EF8B03B2A2C}"/>
  </bookViews>
  <sheets>
    <sheet name="Patcher" sheetId="1" r:id="rId1"/>
    <sheet name="Custom DV" sheetId="5" r:id="rId2"/>
    <sheet name="Custom EDID-EZCOO" sheetId="17" r:id="rId3"/>
    <sheet name="Custom EDID-EZCOO 30Hz" sheetId="15" r:id="rId4"/>
    <sheet name="Custom EDID-JVC-RS640" sheetId="18" r:id="rId5"/>
    <sheet name="Custom EDID-Epson5040UB" sheetId="14" r:id="rId6"/>
    <sheet name="Custom EDID-Epson5050UB" sheetId="16" r:id="rId7"/>
    <sheet name="Custom EDID-LS10500" sheetId="6" r:id="rId8"/>
    <sheet name="Custom EDID-VAVA" sheetId="7" r:id="rId9"/>
    <sheet name="Custom EDID-LS12000" sheetId="8" r:id="rId10"/>
    <sheet name="Custom EDID-LS12000-Native" sheetId="19" r:id="rId11"/>
    <sheet name="Custom EDID-JVC-RS400" sheetId="10" r:id="rId12"/>
    <sheet name="Custom EDID-Formovie T1" sheetId="11" r:id="rId13"/>
    <sheet name="Custom EDID-EpsonDH" sheetId="12" r:id="rId14"/>
    <sheet name="Custom EDID-LG HU810" sheetId="9" r:id="rId15"/>
    <sheet name="Custom EDID-Template" sheetId="13" r:id="rId16"/>
    <sheet name="EDID" sheetId="3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9" l="1"/>
  <c r="T8" i="19" s="1"/>
  <c r="S7" i="19"/>
  <c r="R7" i="19"/>
  <c r="R8" i="19" s="1"/>
  <c r="Q7" i="19"/>
  <c r="Q8" i="19" s="1"/>
  <c r="O7" i="19"/>
  <c r="O8" i="19" s="1"/>
  <c r="O5" i="19" s="1"/>
  <c r="M7" i="19"/>
  <c r="M8" i="19" s="1"/>
  <c r="M5" i="19" s="1"/>
  <c r="AD27" i="19" s="1"/>
  <c r="C30" i="19"/>
  <c r="C29" i="19"/>
  <c r="C27" i="19"/>
  <c r="C26" i="19"/>
  <c r="V25" i="19"/>
  <c r="V26" i="19" s="1"/>
  <c r="C25" i="19"/>
  <c r="C24" i="19"/>
  <c r="C23" i="19"/>
  <c r="C22" i="19"/>
  <c r="C21" i="19"/>
  <c r="C20" i="19"/>
  <c r="C19" i="19"/>
  <c r="C18" i="19"/>
  <c r="C17" i="19"/>
  <c r="C16" i="19"/>
  <c r="C15" i="19"/>
  <c r="C14" i="19"/>
  <c r="P8" i="19"/>
  <c r="N8" i="19"/>
  <c r="L8" i="19"/>
  <c r="I8" i="19"/>
  <c r="H8" i="19"/>
  <c r="F8" i="19"/>
  <c r="E8" i="19"/>
  <c r="S8" i="19"/>
  <c r="C5" i="19"/>
  <c r="AA27" i="19" s="1"/>
  <c r="AD20" i="18"/>
  <c r="AG20" i="18"/>
  <c r="AA27" i="18"/>
  <c r="AE27" i="18"/>
  <c r="C30" i="18"/>
  <c r="C29" i="18"/>
  <c r="C28" i="18"/>
  <c r="C26" i="18"/>
  <c r="V25" i="18"/>
  <c r="V26" i="18" s="1"/>
  <c r="C25" i="18"/>
  <c r="C24" i="18"/>
  <c r="C23" i="18"/>
  <c r="C22" i="18"/>
  <c r="C21" i="18"/>
  <c r="C20" i="18"/>
  <c r="C19" i="18"/>
  <c r="C18" i="18"/>
  <c r="C17" i="18"/>
  <c r="C16" i="18"/>
  <c r="C15" i="18"/>
  <c r="C14" i="18"/>
  <c r="T8" i="18"/>
  <c r="P8" i="18"/>
  <c r="O8" i="18"/>
  <c r="O5" i="18" s="1"/>
  <c r="AH20" i="18" s="1"/>
  <c r="N8" i="18"/>
  <c r="L8" i="18"/>
  <c r="I8" i="18"/>
  <c r="H8" i="18"/>
  <c r="F8" i="18"/>
  <c r="C5" i="18" s="1"/>
  <c r="E8" i="18"/>
  <c r="T7" i="18"/>
  <c r="S7" i="18"/>
  <c r="S8" i="18" s="1"/>
  <c r="S5" i="18" s="1"/>
  <c r="R7" i="18"/>
  <c r="R8" i="18" s="1"/>
  <c r="Q7" i="18"/>
  <c r="Q8" i="18" s="1"/>
  <c r="O7" i="18"/>
  <c r="M7" i="18"/>
  <c r="M8" i="18" s="1"/>
  <c r="M5" i="18" s="1"/>
  <c r="AD27" i="18" s="1"/>
  <c r="Q5" i="18"/>
  <c r="AF27" i="18" s="1"/>
  <c r="C30" i="17"/>
  <c r="C29" i="17"/>
  <c r="C26" i="17"/>
  <c r="V25" i="17"/>
  <c r="V26" i="17" s="1"/>
  <c r="C25" i="17"/>
  <c r="C24" i="17"/>
  <c r="C23" i="17"/>
  <c r="C22" i="17"/>
  <c r="C21" i="17"/>
  <c r="C20" i="17"/>
  <c r="C19" i="17"/>
  <c r="C18" i="17"/>
  <c r="C17" i="17"/>
  <c r="C16" i="17"/>
  <c r="C15" i="17"/>
  <c r="C14" i="17"/>
  <c r="P8" i="17"/>
  <c r="N8" i="17"/>
  <c r="L8" i="17"/>
  <c r="I8" i="17"/>
  <c r="H8" i="17"/>
  <c r="F8" i="17"/>
  <c r="E8" i="17"/>
  <c r="T7" i="17"/>
  <c r="T8" i="17" s="1"/>
  <c r="S7" i="17"/>
  <c r="S8" i="17" s="1"/>
  <c r="R7" i="17"/>
  <c r="R8" i="17" s="1"/>
  <c r="Q7" i="17"/>
  <c r="Q8" i="17" s="1"/>
  <c r="Q5" i="17" s="1"/>
  <c r="AH20" i="17" s="1"/>
  <c r="O7" i="17"/>
  <c r="O8" i="17" s="1"/>
  <c r="M7" i="17"/>
  <c r="M8" i="17" s="1"/>
  <c r="C5" i="17"/>
  <c r="AA27" i="17" s="1"/>
  <c r="V25" i="13"/>
  <c r="AE20" i="16"/>
  <c r="AD20" i="16"/>
  <c r="AC20" i="16"/>
  <c r="AB20" i="16"/>
  <c r="Y20" i="16"/>
  <c r="V25" i="16"/>
  <c r="V26" i="16" s="1"/>
  <c r="C30" i="16"/>
  <c r="C29" i="16"/>
  <c r="C28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P8" i="16"/>
  <c r="O8" i="16"/>
  <c r="N8" i="16"/>
  <c r="M8" i="16"/>
  <c r="M5" i="16" s="1"/>
  <c r="L8" i="16"/>
  <c r="I8" i="16"/>
  <c r="H8" i="16"/>
  <c r="F8" i="16"/>
  <c r="E8" i="16"/>
  <c r="C5" i="16" s="1"/>
  <c r="T7" i="16"/>
  <c r="T8" i="16" s="1"/>
  <c r="S7" i="16"/>
  <c r="S8" i="16" s="1"/>
  <c r="R7" i="16"/>
  <c r="R8" i="16" s="1"/>
  <c r="Q7" i="16"/>
  <c r="Q8" i="16" s="1"/>
  <c r="O7" i="16"/>
  <c r="M7" i="16"/>
  <c r="O5" i="16"/>
  <c r="V25" i="15"/>
  <c r="V26" i="15" s="1"/>
  <c r="AB21" i="15"/>
  <c r="AA21" i="15"/>
  <c r="Z21" i="15"/>
  <c r="Y21" i="15"/>
  <c r="AL20" i="15"/>
  <c r="C30" i="15"/>
  <c r="C29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P8" i="15"/>
  <c r="N8" i="15"/>
  <c r="L8" i="15"/>
  <c r="I8" i="15"/>
  <c r="H8" i="15"/>
  <c r="F8" i="15"/>
  <c r="E8" i="15"/>
  <c r="T7" i="15"/>
  <c r="T8" i="15" s="1"/>
  <c r="S7" i="15"/>
  <c r="S8" i="15" s="1"/>
  <c r="R7" i="15"/>
  <c r="R8" i="15" s="1"/>
  <c r="Q7" i="15"/>
  <c r="Q8" i="15" s="1"/>
  <c r="Q5" i="15" s="1"/>
  <c r="O7" i="15"/>
  <c r="O8" i="15" s="1"/>
  <c r="O5" i="15" s="1"/>
  <c r="M7" i="15"/>
  <c r="M8" i="15" s="1"/>
  <c r="M5" i="15" s="1"/>
  <c r="C5" i="15"/>
  <c r="AA27" i="15" s="1"/>
  <c r="C30" i="14"/>
  <c r="C29" i="14"/>
  <c r="C28" i="14"/>
  <c r="C27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AP35" i="19" a="1"/>
  <c r="AQ33" i="19" a="1"/>
  <c r="AP31" i="19" a="1"/>
  <c r="AP26" i="19" a="1"/>
  <c r="AQ24" i="19" a="1"/>
  <c r="AQ23" i="19" a="1"/>
  <c r="AQ22" i="19" a="1"/>
  <c r="AQ21" i="19" a="1"/>
  <c r="AP20" i="19" a="1"/>
  <c r="AP12" i="19" a="1"/>
  <c r="AQ11" i="19" a="1"/>
  <c r="AP9" i="19" a="1"/>
  <c r="AP6" i="19" a="1"/>
  <c r="AQ33" i="18" a="1"/>
  <c r="AQ32" i="18" a="1"/>
  <c r="AP27" i="18" a="1"/>
  <c r="AP17" i="18" a="1"/>
  <c r="AP13" i="18" a="1"/>
  <c r="AP5" i="18" a="1"/>
  <c r="AP21" i="18" a="1"/>
  <c r="AQ9" i="18" a="1"/>
  <c r="AQ8" i="18" a="1"/>
  <c r="AQ26" i="18" a="1"/>
  <c r="AQ30" i="18" a="1"/>
  <c r="AQ25" i="18" a="1"/>
  <c r="AQ16" i="18" a="1"/>
  <c r="G24" i="18" a="1"/>
  <c r="G14" i="18" a="1"/>
  <c r="G29" i="18" a="1"/>
  <c r="G20" i="18" a="1"/>
  <c r="AQ24" i="18" a="1"/>
  <c r="AQ14" i="18" a="1"/>
  <c r="AQ21" i="18" a="1"/>
  <c r="AQ33" i="17" a="1"/>
  <c r="AQ23" i="17" a="1"/>
  <c r="AP12" i="17" a="1"/>
  <c r="AP31" i="16" a="1"/>
  <c r="AP36" i="16" a="1"/>
  <c r="AQ7" i="16" a="1"/>
  <c r="AQ34" i="15" a="1"/>
  <c r="G21" i="15" a="1"/>
  <c r="AP34" i="17" a="1"/>
  <c r="AP28" i="17" a="1"/>
  <c r="G24" i="17" a="1"/>
  <c r="AP18" i="17" a="1"/>
  <c r="AP14" i="17" a="1"/>
  <c r="AP7" i="17" a="1"/>
  <c r="AQ11" i="16" a="1"/>
  <c r="AQ17" i="16" a="1"/>
  <c r="AP17" i="15" a="1"/>
  <c r="AP25" i="15" a="1"/>
  <c r="AP30" i="16" a="1"/>
  <c r="G19" i="15" a="1"/>
  <c r="AP5" i="16" a="1"/>
  <c r="AQ36" i="19" a="1"/>
  <c r="AP34" i="19" a="1"/>
  <c r="AQ32" i="19" a="1"/>
  <c r="AP30" i="19" a="1"/>
  <c r="AP29" i="19" a="1"/>
  <c r="AP28" i="19" a="1"/>
  <c r="AP27" i="19" a="1"/>
  <c r="AP25" i="19" a="1"/>
  <c r="G25" i="19" a="1"/>
  <c r="G24" i="19" a="1"/>
  <c r="AP19" i="19" a="1"/>
  <c r="AP18" i="19" a="1"/>
  <c r="AP17" i="19" a="1"/>
  <c r="AP16" i="19" a="1"/>
  <c r="AP15" i="19" a="1"/>
  <c r="AP14" i="19" a="1"/>
  <c r="AP13" i="19" a="1"/>
  <c r="AQ10" i="19" a="1"/>
  <c r="AP8" i="19" a="1"/>
  <c r="AP7" i="19" a="1"/>
  <c r="AP5" i="19" a="1"/>
  <c r="AQ35" i="19" a="1"/>
  <c r="AP33" i="19" a="1"/>
  <c r="AQ31" i="19" a="1"/>
  <c r="AQ26" i="19" a="1"/>
  <c r="AP24" i="19" a="1"/>
  <c r="AP23" i="19" a="1"/>
  <c r="AP22" i="19" a="1"/>
  <c r="AP21" i="19" a="1"/>
  <c r="AQ20" i="19" a="1"/>
  <c r="AQ12" i="19" a="1"/>
  <c r="AP11" i="19" a="1"/>
  <c r="AQ9" i="19" a="1"/>
  <c r="AQ6" i="19" a="1"/>
  <c r="AQ36" i="18" a="1"/>
  <c r="AP29" i="18" a="1"/>
  <c r="AP19" i="18" a="1"/>
  <c r="AP15" i="18" a="1"/>
  <c r="AP8" i="18" a="1"/>
  <c r="AP23" i="18" a="1"/>
  <c r="AQ12" i="18" a="1"/>
  <c r="AQ13" i="18" a="1"/>
  <c r="AP33" i="18" a="1"/>
  <c r="AQ34" i="18" a="1"/>
  <c r="AQ28" i="18" a="1"/>
  <c r="AQ18" i="18" a="1"/>
  <c r="G30" i="18" a="1"/>
  <c r="G19" i="18" a="1"/>
  <c r="AP9" i="18" a="1"/>
  <c r="AQ23" i="18" a="1"/>
  <c r="AQ11" i="18" a="1"/>
  <c r="AQ20" i="18" a="1"/>
  <c r="AP26" i="18" a="1"/>
  <c r="AP6" i="18" a="1"/>
  <c r="AP26" i="17" a="1"/>
  <c r="AP36" i="19" a="1"/>
  <c r="AP32" i="19" a="1"/>
  <c r="G30" i="19" a="1"/>
  <c r="AQ28" i="19" a="1"/>
  <c r="G19" i="19" a="1"/>
  <c r="AQ17" i="19" a="1"/>
  <c r="G15" i="19" a="1"/>
  <c r="AQ13" i="19" a="1"/>
  <c r="AP35" i="18" a="1"/>
  <c r="AP28" i="18" a="1"/>
  <c r="AP14" i="18" a="1"/>
  <c r="AP22" i="18" a="1"/>
  <c r="AP10" i="18" a="1"/>
  <c r="AP32" i="18" a="1"/>
  <c r="AQ17" i="18" a="1"/>
  <c r="G15" i="18" a="1"/>
  <c r="G21" i="18" a="1"/>
  <c r="G17" i="18" a="1"/>
  <c r="AP35" i="17" a="1"/>
  <c r="AQ21" i="17" a="1"/>
  <c r="AP6" i="17" a="1"/>
  <c r="AQ29" i="16" a="1"/>
  <c r="G23" i="15" a="1"/>
  <c r="AQ10" i="15" a="1"/>
  <c r="AQ32" i="17" a="1"/>
  <c r="AP25" i="17" a="1"/>
  <c r="AP19" i="17" a="1"/>
  <c r="AP13" i="17" a="1"/>
  <c r="AP26" i="16" a="1"/>
  <c r="AQ28" i="16" a="1"/>
  <c r="AQ20" i="15" a="1"/>
  <c r="AQ7" i="15" a="1"/>
  <c r="AP11" i="15" a="1"/>
  <c r="AP19" i="15" a="1"/>
  <c r="AQ6" i="16" a="1"/>
  <c r="AP33" i="17" a="1"/>
  <c r="AP23" i="17" a="1"/>
  <c r="AQ12" i="17" a="1"/>
  <c r="AP35" i="16" a="1"/>
  <c r="G29" i="15" a="1"/>
  <c r="AP10" i="16" a="1"/>
  <c r="AQ6" i="15" a="1"/>
  <c r="AP23" i="15" a="1"/>
  <c r="AP11" i="16" a="1"/>
  <c r="AP22" i="16" a="1"/>
  <c r="AP22" i="15" a="1"/>
  <c r="AP31" i="15" a="1"/>
  <c r="G20" i="15" a="1"/>
  <c r="AP36" i="17" a="1"/>
  <c r="AQ28" i="17" a="1"/>
  <c r="AQ13" i="17" a="1"/>
  <c r="AQ8" i="15" a="1"/>
  <c r="AP24" i="16" a="1"/>
  <c r="G18" i="15" a="1"/>
  <c r="G14" i="16" a="1"/>
  <c r="AQ15" i="15" a="1"/>
  <c r="AP14" i="15" a="1"/>
  <c r="AQ8" i="17" a="1"/>
  <c r="G28" i="16" a="1"/>
  <c r="AQ29" i="17" a="1"/>
  <c r="AQ18" i="17" a="1"/>
  <c r="AQ7" i="17" a="1"/>
  <c r="AQ24" i="15" a="1"/>
  <c r="G27" i="15" a="1"/>
  <c r="AP8" i="15" a="1"/>
  <c r="AP27" i="15" a="1"/>
  <c r="AP25" i="16" a="1"/>
  <c r="AQ27" i="17" a="1"/>
  <c r="AQ15" i="17" a="1"/>
  <c r="AQ17" i="15" a="1"/>
  <c r="G14" i="17" a="1"/>
  <c r="AP16" i="16" a="1"/>
  <c r="AQ29" i="15" a="1"/>
  <c r="G15" i="15" a="1"/>
  <c r="AQ21" i="15" a="1"/>
  <c r="AQ27" i="16" a="1"/>
  <c r="G26" i="15" a="1"/>
  <c r="AP32" i="17" a="1"/>
  <c r="G20" i="16" a="1"/>
  <c r="AP34" i="16" a="1"/>
  <c r="AQ35" i="15" a="1"/>
  <c r="G21" i="17" a="1"/>
  <c r="AQ19" i="16" a="1"/>
  <c r="AQ19" i="17" a="1"/>
  <c r="G29" i="17" a="1"/>
  <c r="G18" i="19" a="1"/>
  <c r="AQ8" i="19" a="1"/>
  <c r="AP30" i="18" a="1"/>
  <c r="AP16" i="18" a="1"/>
  <c r="AP24" i="18" a="1"/>
  <c r="AP36" i="18" a="1"/>
  <c r="AQ19" i="18" a="1"/>
  <c r="AQ22" i="18" a="1"/>
  <c r="G22" i="18" a="1"/>
  <c r="G18" i="18" a="1"/>
  <c r="AP9" i="17" a="1"/>
  <c r="AP20" i="15" a="1"/>
  <c r="AQ36" i="17" a="1"/>
  <c r="G22" i="17" a="1"/>
  <c r="AP5" i="17" a="1"/>
  <c r="AP6" i="15" a="1"/>
  <c r="AQ36" i="15" a="1"/>
  <c r="AQ35" i="17" a="1"/>
  <c r="AQ6" i="17" a="1"/>
  <c r="AQ16" i="16" a="1"/>
  <c r="AP13" i="15" a="1"/>
  <c r="AQ35" i="16" a="1"/>
  <c r="AP36" i="15" a="1"/>
  <c r="AP18" i="15" a="1"/>
  <c r="G30" i="17" a="1"/>
  <c r="AQ31" i="15" a="1"/>
  <c r="AQ26" i="16" a="1"/>
  <c r="G30" i="15" a="1"/>
  <c r="G25" i="16" a="1"/>
  <c r="AQ9" i="16" a="1"/>
  <c r="G17" i="15" a="1"/>
  <c r="AQ16" i="17" a="1"/>
  <c r="AP15" i="15" a="1"/>
  <c r="AQ34" i="19" a="1"/>
  <c r="AQ29" i="19" a="1"/>
  <c r="G27" i="19" a="1"/>
  <c r="G26" i="19" a="1"/>
  <c r="G22" i="19" a="1"/>
  <c r="G21" i="19" a="1"/>
  <c r="G20" i="19" a="1"/>
  <c r="AQ18" i="19" a="1"/>
  <c r="G16" i="19" a="1"/>
  <c r="AQ14" i="19" a="1"/>
  <c r="AP10" i="19" a="1"/>
  <c r="AQ7" i="19" a="1"/>
  <c r="AQ5" i="19" a="1"/>
  <c r="AP31" i="18" a="1"/>
  <c r="AP25" i="18" a="1"/>
  <c r="AQ10" i="18" a="1"/>
  <c r="AP20" i="18" a="1"/>
  <c r="AQ35" i="18" a="1"/>
  <c r="AQ29" i="18" a="1"/>
  <c r="AQ15" i="18" a="1"/>
  <c r="AP12" i="18" a="1"/>
  <c r="G16" i="18" a="1"/>
  <c r="AQ7" i="18" a="1"/>
  <c r="AP31" i="17" a="1"/>
  <c r="AP20" i="17" a="1"/>
  <c r="AQ22" i="16" a="1"/>
  <c r="AQ18" i="16" a="1"/>
  <c r="AP24" i="15" a="1"/>
  <c r="AQ18" i="15" a="1"/>
  <c r="AP30" i="17" a="1"/>
  <c r="G25" i="17" a="1"/>
  <c r="AP17" i="17" a="1"/>
  <c r="AQ10" i="17" a="1"/>
  <c r="AQ21" i="16" a="1"/>
  <c r="AQ13" i="16" a="1"/>
  <c r="AQ28" i="15" a="1"/>
  <c r="AP10" i="15" a="1"/>
  <c r="AP23" i="16" a="1"/>
  <c r="AP29" i="16" a="1"/>
  <c r="AQ16" i="15" a="1"/>
  <c r="AQ31" i="17" a="1"/>
  <c r="AP22" i="17" a="1"/>
  <c r="AP11" i="17" a="1"/>
  <c r="AQ24" i="16" a="1"/>
  <c r="AP32" i="16" a="1"/>
  <c r="AP35" i="15" a="1"/>
  <c r="AQ19" i="15" a="1"/>
  <c r="AP32" i="15" a="1"/>
  <c r="G25" i="15" a="1"/>
  <c r="AP17" i="16" a="1"/>
  <c r="G18" i="16" a="1"/>
  <c r="AP28" i="16" a="1"/>
  <c r="AP29" i="15" a="1"/>
  <c r="AQ34" i="17" a="1"/>
  <c r="G19" i="17" a="1"/>
  <c r="AQ33" i="16" a="1"/>
  <c r="AQ12" i="15" a="1"/>
  <c r="AP15" i="16" a="1"/>
  <c r="G17" i="16" a="1"/>
  <c r="G24" i="16" a="1"/>
  <c r="AQ25" i="16" a="1"/>
  <c r="AP9" i="15" a="1"/>
  <c r="AQ15" i="16" a="1"/>
  <c r="G16" i="16" a="1"/>
  <c r="G26" i="17" a="1"/>
  <c r="G16" i="17" a="1"/>
  <c r="AQ5" i="17" a="1"/>
  <c r="AQ13" i="15" a="1"/>
  <c r="AP21" i="16" a="1"/>
  <c r="AP26" i="15" a="1"/>
  <c r="AQ22" i="15" a="1"/>
  <c r="AQ25" i="15" a="1"/>
  <c r="AQ25" i="17" a="1"/>
  <c r="AP19" i="16" a="1"/>
  <c r="AP6" i="16" a="1"/>
  <c r="AQ12" i="16" a="1"/>
  <c r="AQ26" i="17" a="1"/>
  <c r="AP21" i="17" a="1"/>
  <c r="AQ20" i="16" a="1"/>
  <c r="AP12" i="15" a="1"/>
  <c r="AP13" i="16" a="1"/>
  <c r="AP34" i="15" a="1"/>
  <c r="AP7" i="15" a="1"/>
  <c r="AQ17" i="17" a="1"/>
  <c r="AQ11" i="15" a="1"/>
  <c r="G24" i="15" a="1"/>
  <c r="AP28" i="15" a="1"/>
  <c r="AQ14" i="17" a="1"/>
  <c r="AQ27" i="15" a="1"/>
  <c r="AP7" i="16" a="1"/>
  <c r="AP5" i="15" a="1"/>
  <c r="AP27" i="16" a="1"/>
  <c r="G29" i="19" a="1"/>
  <c r="AQ16" i="19" a="1"/>
  <c r="G14" i="19" a="1"/>
  <c r="AQ26" i="15" a="1"/>
  <c r="AQ9" i="15" a="1"/>
  <c r="G15" i="17" a="1"/>
  <c r="AQ14" i="15" a="1"/>
  <c r="AP33" i="16" a="1"/>
  <c r="G20" i="17" a="1"/>
  <c r="AQ30" i="15" a="1"/>
  <c r="AQ30" i="17" a="1"/>
  <c r="AP20" i="16" a="1"/>
  <c r="AQ31" i="16" a="1"/>
  <c r="AQ30" i="19" a="1"/>
  <c r="AQ27" i="19" a="1"/>
  <c r="AQ25" i="19" a="1"/>
  <c r="G23" i="19" a="1"/>
  <c r="AQ19" i="19" a="1"/>
  <c r="G17" i="19" a="1"/>
  <c r="AQ15" i="19" a="1"/>
  <c r="AP34" i="18" a="1"/>
  <c r="AP18" i="18" a="1"/>
  <c r="AP7" i="18" a="1"/>
  <c r="AP11" i="18" a="1"/>
  <c r="AQ31" i="18" a="1"/>
  <c r="AQ27" i="18" a="1"/>
  <c r="G26" i="18" a="1"/>
  <c r="AQ5" i="18" a="1"/>
  <c r="G28" i="18" a="1"/>
  <c r="G23" i="18" a="1"/>
  <c r="AQ24" i="17" a="1"/>
  <c r="AQ11" i="17" a="1"/>
  <c r="AP12" i="16" a="1"/>
  <c r="AQ14" i="16" a="1"/>
  <c r="G14" i="15" a="1"/>
  <c r="AQ32" i="16" a="1"/>
  <c r="AP29" i="17" a="1"/>
  <c r="G23" i="17" a="1"/>
  <c r="AP16" i="17" a="1"/>
  <c r="AP8" i="17" a="1"/>
  <c r="AQ23" i="15" a="1"/>
  <c r="AQ5" i="16" a="1"/>
  <c r="G16" i="15" a="1"/>
  <c r="AP18" i="16" a="1"/>
  <c r="G15" i="16" a="1"/>
  <c r="AQ9" i="17" a="1"/>
  <c r="AQ32" i="15" a="1"/>
  <c r="AQ5" i="15" a="1"/>
  <c r="AP8" i="16" a="1"/>
  <c r="AQ36" i="16" a="1"/>
  <c r="AP21" i="15" a="1"/>
  <c r="G22" i="16" a="1"/>
  <c r="AQ23" i="16" a="1"/>
  <c r="AQ10" i="16" a="1"/>
  <c r="G19" i="16" a="1"/>
  <c r="AP16" i="15" a="1"/>
  <c r="AQ6" i="18" a="1"/>
  <c r="G25" i="18" a="1"/>
  <c r="AQ22" i="17" a="1"/>
  <c r="AQ33" i="15" a="1"/>
  <c r="AP30" i="15" a="1"/>
  <c r="AP27" i="17" a="1"/>
  <c r="AP15" i="17" a="1"/>
  <c r="AQ34" i="16" a="1"/>
  <c r="AP33" i="15" a="1"/>
  <c r="AP14" i="16" a="1"/>
  <c r="AP24" i="17" a="1"/>
  <c r="AQ20" i="17" a="1"/>
  <c r="AP9" i="16" a="1"/>
  <c r="G22" i="15" a="1"/>
  <c r="G29" i="16" a="1"/>
  <c r="G21" i="16" a="1"/>
  <c r="AQ8" i="16" a="1"/>
  <c r="G30" i="16" a="1"/>
  <c r="G18" i="17" a="1"/>
  <c r="AP10" i="17" a="1"/>
  <c r="AQ30" i="16" a="1"/>
  <c r="G23" i="16" a="1"/>
  <c r="G17" i="17" a="1"/>
  <c r="Q5" i="19" l="1"/>
  <c r="AF27" i="19" s="1"/>
  <c r="AQ15" i="19"/>
  <c r="G17" i="19"/>
  <c r="AQ19" i="19"/>
  <c r="G23" i="19"/>
  <c r="AQ25" i="19"/>
  <c r="AQ27" i="19"/>
  <c r="AQ30" i="19"/>
  <c r="G14" i="19"/>
  <c r="AQ16" i="19"/>
  <c r="G29" i="19"/>
  <c r="AQ5" i="19"/>
  <c r="G8" i="19" s="1"/>
  <c r="G5" i="19" s="1"/>
  <c r="AQ7" i="19"/>
  <c r="AP10" i="19"/>
  <c r="AN10" i="19" s="1"/>
  <c r="AQ14" i="19"/>
  <c r="G16" i="19"/>
  <c r="AQ18" i="19"/>
  <c r="G20" i="19"/>
  <c r="G21" i="19"/>
  <c r="G22" i="19"/>
  <c r="G26" i="19"/>
  <c r="G27" i="19"/>
  <c r="AQ29" i="19"/>
  <c r="AQ34" i="19"/>
  <c r="AQ8" i="19"/>
  <c r="G18" i="19"/>
  <c r="AQ13" i="19"/>
  <c r="G15" i="19"/>
  <c r="AQ17" i="19"/>
  <c r="G19" i="19"/>
  <c r="AQ28" i="19"/>
  <c r="G30" i="19"/>
  <c r="AP32" i="19"/>
  <c r="AN32" i="19" s="1"/>
  <c r="AP36" i="19"/>
  <c r="AN36" i="19" s="1"/>
  <c r="AQ6" i="19"/>
  <c r="AQ9" i="19"/>
  <c r="AP11" i="19"/>
  <c r="AN11" i="19" s="1"/>
  <c r="AQ12" i="19"/>
  <c r="AQ20" i="19"/>
  <c r="AP21" i="19"/>
  <c r="AN21" i="19" s="1"/>
  <c r="AP22" i="19"/>
  <c r="AN22" i="19" s="1"/>
  <c r="AP23" i="19"/>
  <c r="AN23" i="19" s="1"/>
  <c r="AP24" i="19"/>
  <c r="AN24" i="19" s="1"/>
  <c r="AQ26" i="19"/>
  <c r="AQ31" i="19"/>
  <c r="AP33" i="19"/>
  <c r="AN33" i="19" s="1"/>
  <c r="AQ35" i="19"/>
  <c r="AP5" i="19"/>
  <c r="AN5" i="19" s="1"/>
  <c r="AP7" i="19"/>
  <c r="AN7" i="19" s="1"/>
  <c r="AP8" i="19"/>
  <c r="AN8" i="19" s="1"/>
  <c r="AQ10" i="19"/>
  <c r="AP13" i="19"/>
  <c r="AN13" i="19" s="1"/>
  <c r="AP14" i="19"/>
  <c r="AN14" i="19" s="1"/>
  <c r="AP15" i="19"/>
  <c r="AN15" i="19" s="1"/>
  <c r="AP16" i="19"/>
  <c r="AN16" i="19" s="1"/>
  <c r="AP17" i="19"/>
  <c r="AN17" i="19" s="1"/>
  <c r="AP18" i="19"/>
  <c r="AN18" i="19" s="1"/>
  <c r="AP19" i="19"/>
  <c r="AN19" i="19" s="1"/>
  <c r="G24" i="19"/>
  <c r="G25" i="19"/>
  <c r="AP25" i="19"/>
  <c r="AN25" i="19" s="1"/>
  <c r="AP27" i="19"/>
  <c r="AN27" i="19" s="1"/>
  <c r="AP28" i="19"/>
  <c r="AN28" i="19" s="1"/>
  <c r="AP29" i="19"/>
  <c r="AN29" i="19" s="1"/>
  <c r="AP30" i="19"/>
  <c r="AN30" i="19" s="1"/>
  <c r="AQ32" i="19"/>
  <c r="AP34" i="19"/>
  <c r="AN34" i="19" s="1"/>
  <c r="AQ36" i="19"/>
  <c r="AP6" i="19"/>
  <c r="AN6" i="19" s="1"/>
  <c r="AP9" i="19"/>
  <c r="AN9" i="19" s="1"/>
  <c r="AQ11" i="19"/>
  <c r="AP12" i="19"/>
  <c r="AN12" i="19" s="1"/>
  <c r="AP20" i="19"/>
  <c r="AN20" i="19" s="1"/>
  <c r="AQ21" i="19"/>
  <c r="AQ22" i="19"/>
  <c r="AQ23" i="19"/>
  <c r="AQ24" i="19"/>
  <c r="AP26" i="19"/>
  <c r="AN26" i="19" s="1"/>
  <c r="AP31" i="19"/>
  <c r="AN31" i="19" s="1"/>
  <c r="AQ33" i="19"/>
  <c r="AP35" i="19"/>
  <c r="AN35" i="19" s="1"/>
  <c r="S5" i="19"/>
  <c r="AE27" i="19"/>
  <c r="Z21" i="19"/>
  <c r="AA21" i="19"/>
  <c r="Y21" i="19"/>
  <c r="AL20" i="19"/>
  <c r="AG27" i="18"/>
  <c r="AJ20" i="18"/>
  <c r="AI20" i="18"/>
  <c r="AP6" i="18"/>
  <c r="AN6" i="18" s="1"/>
  <c r="G18" i="18"/>
  <c r="AQ21" i="18"/>
  <c r="G23" i="18"/>
  <c r="AP26" i="18"/>
  <c r="AN26" i="18" s="1"/>
  <c r="AQ7" i="18"/>
  <c r="AQ14" i="18"/>
  <c r="G17" i="18"/>
  <c r="AQ20" i="18"/>
  <c r="G22" i="18"/>
  <c r="AQ24" i="18"/>
  <c r="G28" i="18"/>
  <c r="AQ11" i="18"/>
  <c r="G16" i="18"/>
  <c r="G20" i="18"/>
  <c r="G21" i="18"/>
  <c r="AQ23" i="18"/>
  <c r="G25" i="18"/>
  <c r="G29" i="18"/>
  <c r="AQ5" i="18"/>
  <c r="G8" i="18" s="1"/>
  <c r="G5" i="18" s="1"/>
  <c r="AP9" i="18"/>
  <c r="AN9" i="18" s="1"/>
  <c r="AP12" i="18"/>
  <c r="AN12" i="18" s="1"/>
  <c r="G14" i="18"/>
  <c r="G15" i="18"/>
  <c r="G19" i="18"/>
  <c r="AQ22" i="18"/>
  <c r="G24" i="18"/>
  <c r="G26" i="18"/>
  <c r="G30" i="18"/>
  <c r="AQ15" i="18"/>
  <c r="AQ16" i="18"/>
  <c r="AQ17" i="18"/>
  <c r="AQ18" i="18"/>
  <c r="AQ19" i="18"/>
  <c r="AQ25" i="18"/>
  <c r="AQ27" i="18"/>
  <c r="AQ28" i="18"/>
  <c r="AQ29" i="18"/>
  <c r="AQ30" i="18"/>
  <c r="AP32" i="18"/>
  <c r="AN32" i="18" s="1"/>
  <c r="AQ34" i="18"/>
  <c r="AP36" i="18"/>
  <c r="AN36" i="18" s="1"/>
  <c r="AQ26" i="18"/>
  <c r="AQ31" i="18"/>
  <c r="AP33" i="18"/>
  <c r="AN33" i="18" s="1"/>
  <c r="AQ35" i="18"/>
  <c r="AQ8" i="18"/>
  <c r="AP10" i="18"/>
  <c r="AN10" i="18" s="1"/>
  <c r="AQ13" i="18"/>
  <c r="AQ6" i="18"/>
  <c r="AQ9" i="18"/>
  <c r="AP11" i="18"/>
  <c r="AN11" i="18" s="1"/>
  <c r="AQ12" i="18"/>
  <c r="AP20" i="18"/>
  <c r="AN20" i="18" s="1"/>
  <c r="AP21" i="18"/>
  <c r="AN21" i="18" s="1"/>
  <c r="AP22" i="18"/>
  <c r="AN22" i="18" s="1"/>
  <c r="AP23" i="18"/>
  <c r="AN23" i="18" s="1"/>
  <c r="AP24" i="18"/>
  <c r="AN24" i="18" s="1"/>
  <c r="AP5" i="18"/>
  <c r="AN5" i="18" s="1"/>
  <c r="AP7" i="18"/>
  <c r="AN7" i="18" s="1"/>
  <c r="AP8" i="18"/>
  <c r="AN8" i="18" s="1"/>
  <c r="AQ10" i="18"/>
  <c r="AP13" i="18"/>
  <c r="AN13" i="18" s="1"/>
  <c r="AP14" i="18"/>
  <c r="AN14" i="18" s="1"/>
  <c r="AP15" i="18"/>
  <c r="AN15" i="18" s="1"/>
  <c r="AP16" i="18"/>
  <c r="AN16" i="18" s="1"/>
  <c r="AP17" i="18"/>
  <c r="AN17" i="18" s="1"/>
  <c r="AP18" i="18"/>
  <c r="AN18" i="18" s="1"/>
  <c r="AP19" i="18"/>
  <c r="AN19" i="18" s="1"/>
  <c r="AP25" i="18"/>
  <c r="AN25" i="18" s="1"/>
  <c r="AP27" i="18"/>
  <c r="AN27" i="18" s="1"/>
  <c r="AP28" i="18"/>
  <c r="AN28" i="18" s="1"/>
  <c r="AP29" i="18"/>
  <c r="AN29" i="18" s="1"/>
  <c r="AP30" i="18"/>
  <c r="AN30" i="18" s="1"/>
  <c r="AQ32" i="18"/>
  <c r="AP34" i="18"/>
  <c r="AN34" i="18" s="1"/>
  <c r="AQ36" i="18"/>
  <c r="AP31" i="18"/>
  <c r="AN31" i="18" s="1"/>
  <c r="AQ33" i="18"/>
  <c r="AP35" i="18"/>
  <c r="AN35" i="18" s="1"/>
  <c r="AC20" i="17"/>
  <c r="O5" i="17"/>
  <c r="AG20" i="17" s="1"/>
  <c r="M5" i="17"/>
  <c r="AD27" i="17" s="1"/>
  <c r="G14" i="17"/>
  <c r="AQ16" i="17"/>
  <c r="G29" i="17"/>
  <c r="AQ15" i="17"/>
  <c r="G17" i="17"/>
  <c r="AQ19" i="17"/>
  <c r="AQ25" i="17"/>
  <c r="AQ27" i="17"/>
  <c r="AQ30" i="17"/>
  <c r="AQ5" i="17"/>
  <c r="AQ7" i="17"/>
  <c r="AP10" i="17"/>
  <c r="AN10" i="17" s="1"/>
  <c r="AQ14" i="17"/>
  <c r="G16" i="17"/>
  <c r="AQ18" i="17"/>
  <c r="G20" i="17"/>
  <c r="G21" i="17"/>
  <c r="G26" i="17"/>
  <c r="AQ29" i="17"/>
  <c r="AQ8" i="17"/>
  <c r="G18" i="17"/>
  <c r="AQ13" i="17"/>
  <c r="G15" i="17"/>
  <c r="AQ17" i="17"/>
  <c r="G19" i="17"/>
  <c r="AQ28" i="17"/>
  <c r="G30" i="17"/>
  <c r="AP32" i="17"/>
  <c r="AN32" i="17" s="1"/>
  <c r="AQ34" i="17"/>
  <c r="AP36" i="17"/>
  <c r="AN36" i="17" s="1"/>
  <c r="AQ6" i="17"/>
  <c r="AQ9" i="17"/>
  <c r="AP11" i="17"/>
  <c r="AN11" i="17" s="1"/>
  <c r="AQ12" i="17"/>
  <c r="AQ20" i="17"/>
  <c r="AP21" i="17"/>
  <c r="AN21" i="17" s="1"/>
  <c r="AP22" i="17"/>
  <c r="AN22" i="17" s="1"/>
  <c r="AP23" i="17"/>
  <c r="AN23" i="17" s="1"/>
  <c r="AP24" i="17"/>
  <c r="AN24" i="17" s="1"/>
  <c r="AQ26" i="17"/>
  <c r="AQ31" i="17"/>
  <c r="AP33" i="17"/>
  <c r="AN33" i="17" s="1"/>
  <c r="AQ35" i="17"/>
  <c r="AP5" i="17"/>
  <c r="AN5" i="17" s="1"/>
  <c r="AP7" i="17"/>
  <c r="AN7" i="17" s="1"/>
  <c r="AP8" i="17"/>
  <c r="AN8" i="17" s="1"/>
  <c r="AQ10" i="17"/>
  <c r="AP13" i="17"/>
  <c r="AN13" i="17" s="1"/>
  <c r="AP14" i="17"/>
  <c r="AN14" i="17" s="1"/>
  <c r="AP15" i="17"/>
  <c r="AN15" i="17" s="1"/>
  <c r="AP16" i="17"/>
  <c r="AN16" i="17" s="1"/>
  <c r="AP17" i="17"/>
  <c r="AN17" i="17" s="1"/>
  <c r="AP18" i="17"/>
  <c r="AN18" i="17" s="1"/>
  <c r="AP19" i="17"/>
  <c r="AN19" i="17" s="1"/>
  <c r="G22" i="17"/>
  <c r="G23" i="17"/>
  <c r="G24" i="17"/>
  <c r="G25" i="17"/>
  <c r="AP25" i="17"/>
  <c r="AN25" i="17" s="1"/>
  <c r="AP27" i="17"/>
  <c r="AN27" i="17" s="1"/>
  <c r="AP28" i="17"/>
  <c r="AN28" i="17" s="1"/>
  <c r="AP29" i="17"/>
  <c r="AN29" i="17" s="1"/>
  <c r="AP30" i="17"/>
  <c r="AN30" i="17" s="1"/>
  <c r="AQ32" i="17"/>
  <c r="AP34" i="17"/>
  <c r="AN34" i="17" s="1"/>
  <c r="AQ36" i="17"/>
  <c r="AP6" i="17"/>
  <c r="AN6" i="17" s="1"/>
  <c r="AP9" i="17"/>
  <c r="AN9" i="17" s="1"/>
  <c r="AQ11" i="17"/>
  <c r="AP12" i="17"/>
  <c r="AN12" i="17" s="1"/>
  <c r="AP20" i="17"/>
  <c r="AN20" i="17" s="1"/>
  <c r="AQ21" i="17"/>
  <c r="AQ22" i="17"/>
  <c r="AQ23" i="17"/>
  <c r="AQ24" i="17"/>
  <c r="AP26" i="17"/>
  <c r="AN26" i="17" s="1"/>
  <c r="AP31" i="17"/>
  <c r="AN31" i="17" s="1"/>
  <c r="AQ33" i="17"/>
  <c r="AP35" i="17"/>
  <c r="AN35" i="17" s="1"/>
  <c r="S5" i="17"/>
  <c r="AI20" i="17" s="1"/>
  <c r="AF27" i="17"/>
  <c r="G23" i="16"/>
  <c r="G24" i="16"/>
  <c r="G21" i="16"/>
  <c r="G25" i="16"/>
  <c r="G22" i="16"/>
  <c r="G14" i="16"/>
  <c r="G19" i="16"/>
  <c r="AP25" i="16"/>
  <c r="AN25" i="16" s="1"/>
  <c r="AQ19" i="16"/>
  <c r="AQ26" i="16"/>
  <c r="AQ31" i="16"/>
  <c r="AP8" i="16"/>
  <c r="AN8" i="16" s="1"/>
  <c r="G15" i="16"/>
  <c r="G17" i="16"/>
  <c r="AP27" i="16"/>
  <c r="AN27" i="16" s="1"/>
  <c r="AP28" i="16"/>
  <c r="AN28" i="16" s="1"/>
  <c r="AQ6" i="16"/>
  <c r="G30" i="16"/>
  <c r="G16" i="16"/>
  <c r="G18" i="16"/>
  <c r="AP29" i="16"/>
  <c r="AN29" i="16" s="1"/>
  <c r="AP5" i="16"/>
  <c r="AN5" i="16" s="1"/>
  <c r="AP7" i="16"/>
  <c r="AN7" i="16" s="1"/>
  <c r="AQ10" i="16"/>
  <c r="AP13" i="16"/>
  <c r="AN13" i="16" s="1"/>
  <c r="AP14" i="16"/>
  <c r="AN14" i="16" s="1"/>
  <c r="AP15" i="16"/>
  <c r="AN15" i="16" s="1"/>
  <c r="AP16" i="16"/>
  <c r="AN16" i="16" s="1"/>
  <c r="AP17" i="16"/>
  <c r="AN17" i="16" s="1"/>
  <c r="AP18" i="16"/>
  <c r="AN18" i="16" s="1"/>
  <c r="AP20" i="16"/>
  <c r="AN20" i="16" s="1"/>
  <c r="AP21" i="16"/>
  <c r="AN21" i="16" s="1"/>
  <c r="AP22" i="16"/>
  <c r="AN22" i="16" s="1"/>
  <c r="AP23" i="16"/>
  <c r="AN23" i="16" s="1"/>
  <c r="AP24" i="16"/>
  <c r="AN24" i="16" s="1"/>
  <c r="G28" i="16"/>
  <c r="G29" i="16"/>
  <c r="AQ9" i="16"/>
  <c r="AP11" i="16"/>
  <c r="AN11" i="16" s="1"/>
  <c r="AQ12" i="16"/>
  <c r="G20" i="16"/>
  <c r="AP33" i="16"/>
  <c r="AN33" i="16" s="1"/>
  <c r="AQ35" i="16"/>
  <c r="AP30" i="16"/>
  <c r="AN30" i="16" s="1"/>
  <c r="AQ32" i="16"/>
  <c r="AP34" i="16"/>
  <c r="AN34" i="16" s="1"/>
  <c r="AQ5" i="16"/>
  <c r="G8" i="16" s="1"/>
  <c r="G5" i="16" s="1"/>
  <c r="Z20" i="16" s="1"/>
  <c r="AQ7" i="16"/>
  <c r="AQ8" i="16"/>
  <c r="AP10" i="16"/>
  <c r="AN10" i="16" s="1"/>
  <c r="AQ13" i="16"/>
  <c r="AQ14" i="16"/>
  <c r="AQ15" i="16"/>
  <c r="AQ16" i="16"/>
  <c r="AQ17" i="16"/>
  <c r="AQ18" i="16"/>
  <c r="AQ25" i="16"/>
  <c r="AQ27" i="16"/>
  <c r="AQ28" i="16"/>
  <c r="AQ29" i="16"/>
  <c r="AQ30" i="16"/>
  <c r="AP32" i="16"/>
  <c r="AN32" i="16" s="1"/>
  <c r="AQ34" i="16"/>
  <c r="AP36" i="16"/>
  <c r="AN36" i="16" s="1"/>
  <c r="AQ36" i="16"/>
  <c r="AP6" i="16"/>
  <c r="AN6" i="16" s="1"/>
  <c r="AP9" i="16"/>
  <c r="AN9" i="16" s="1"/>
  <c r="AQ11" i="16"/>
  <c r="AP12" i="16"/>
  <c r="AN12" i="16" s="1"/>
  <c r="AP19" i="16"/>
  <c r="AN19" i="16" s="1"/>
  <c r="AQ20" i="16"/>
  <c r="AQ21" i="16"/>
  <c r="AQ22" i="16"/>
  <c r="AQ23" i="16"/>
  <c r="AQ24" i="16"/>
  <c r="AP26" i="16"/>
  <c r="AN26" i="16" s="1"/>
  <c r="AP31" i="16"/>
  <c r="AN31" i="16" s="1"/>
  <c r="AQ33" i="16"/>
  <c r="AP35" i="16"/>
  <c r="AN35" i="16" s="1"/>
  <c r="AD27" i="16"/>
  <c r="Q5" i="16"/>
  <c r="AA27" i="16"/>
  <c r="AE27" i="16"/>
  <c r="S5" i="16"/>
  <c r="G15" i="15"/>
  <c r="G19" i="15"/>
  <c r="G26" i="15"/>
  <c r="G16" i="15"/>
  <c r="G20" i="15"/>
  <c r="G17" i="15"/>
  <c r="G29" i="15"/>
  <c r="G14" i="15"/>
  <c r="G18" i="15"/>
  <c r="G30" i="15"/>
  <c r="AP10" i="15"/>
  <c r="AN10" i="15" s="1"/>
  <c r="AQ13" i="15"/>
  <c r="AQ15" i="15"/>
  <c r="AQ16" i="15"/>
  <c r="AQ18" i="15"/>
  <c r="AQ19" i="15"/>
  <c r="AQ25" i="15"/>
  <c r="G27" i="15"/>
  <c r="AQ27" i="15"/>
  <c r="AQ28" i="15"/>
  <c r="AQ29" i="15"/>
  <c r="AQ30" i="15"/>
  <c r="AP32" i="15"/>
  <c r="AN32" i="15" s="1"/>
  <c r="AQ34" i="15"/>
  <c r="AP36" i="15"/>
  <c r="AN36" i="15" s="1"/>
  <c r="AQ5" i="15"/>
  <c r="AQ7" i="15"/>
  <c r="AQ8" i="15"/>
  <c r="AQ14" i="15"/>
  <c r="AQ17" i="15"/>
  <c r="G21" i="15"/>
  <c r="AQ6" i="15"/>
  <c r="AQ9" i="15"/>
  <c r="AP11" i="15"/>
  <c r="AN11" i="15" s="1"/>
  <c r="AQ12" i="15"/>
  <c r="AQ20" i="15"/>
  <c r="AP21" i="15"/>
  <c r="AN21" i="15" s="1"/>
  <c r="AP22" i="15"/>
  <c r="AN22" i="15" s="1"/>
  <c r="AP23" i="15"/>
  <c r="AN23" i="15" s="1"/>
  <c r="AP24" i="15"/>
  <c r="AN24" i="15" s="1"/>
  <c r="AQ26" i="15"/>
  <c r="AQ31" i="15"/>
  <c r="AP33" i="15"/>
  <c r="AN33" i="15" s="1"/>
  <c r="AQ35" i="15"/>
  <c r="AP7" i="15"/>
  <c r="AN7" i="15" s="1"/>
  <c r="AP8" i="15"/>
  <c r="AN8" i="15" s="1"/>
  <c r="AQ10" i="15"/>
  <c r="AP13" i="15"/>
  <c r="AN13" i="15" s="1"/>
  <c r="AP14" i="15"/>
  <c r="AN14" i="15" s="1"/>
  <c r="AP15" i="15"/>
  <c r="AN15" i="15" s="1"/>
  <c r="AP16" i="15"/>
  <c r="AN16" i="15" s="1"/>
  <c r="AP17" i="15"/>
  <c r="AN17" i="15" s="1"/>
  <c r="AP18" i="15"/>
  <c r="AN18" i="15" s="1"/>
  <c r="AP19" i="15"/>
  <c r="AN19" i="15" s="1"/>
  <c r="G22" i="15"/>
  <c r="G23" i="15"/>
  <c r="G24" i="15"/>
  <c r="G25" i="15"/>
  <c r="AP25" i="15"/>
  <c r="AN25" i="15" s="1"/>
  <c r="AP27" i="15"/>
  <c r="AN27" i="15" s="1"/>
  <c r="AP28" i="15"/>
  <c r="AN28" i="15" s="1"/>
  <c r="AP29" i="15"/>
  <c r="AN29" i="15" s="1"/>
  <c r="AP30" i="15"/>
  <c r="AN30" i="15" s="1"/>
  <c r="AQ32" i="15"/>
  <c r="AP34" i="15"/>
  <c r="AN34" i="15" s="1"/>
  <c r="AQ36" i="15"/>
  <c r="AP5" i="15"/>
  <c r="AN5" i="15" s="1"/>
  <c r="AP6" i="15"/>
  <c r="AN6" i="15" s="1"/>
  <c r="AP9" i="15"/>
  <c r="AN9" i="15" s="1"/>
  <c r="AQ11" i="15"/>
  <c r="AP12" i="15"/>
  <c r="AN12" i="15" s="1"/>
  <c r="AP20" i="15"/>
  <c r="AN20" i="15" s="1"/>
  <c r="AQ21" i="15"/>
  <c r="AQ22" i="15"/>
  <c r="AQ23" i="15"/>
  <c r="AQ24" i="15"/>
  <c r="AP26" i="15"/>
  <c r="AN26" i="15" s="1"/>
  <c r="AP31" i="15"/>
  <c r="AN31" i="15" s="1"/>
  <c r="AQ33" i="15"/>
  <c r="AP35" i="15"/>
  <c r="AN35" i="15" s="1"/>
  <c r="AF27" i="15"/>
  <c r="AD27" i="15"/>
  <c r="S5" i="15"/>
  <c r="AE27" i="15"/>
  <c r="J8" i="19" l="1"/>
  <c r="J5" i="19" s="1"/>
  <c r="AB27" i="18"/>
  <c r="AE20" i="18"/>
  <c r="AB27" i="19"/>
  <c r="W21" i="19"/>
  <c r="AB21" i="19"/>
  <c r="AG27" i="19"/>
  <c r="J8" i="18"/>
  <c r="J5" i="18" s="1"/>
  <c r="AE27" i="17"/>
  <c r="AF20" i="17"/>
  <c r="J8" i="15"/>
  <c r="J5" i="15" s="1"/>
  <c r="X21" i="15" s="1"/>
  <c r="J8" i="17"/>
  <c r="J5" i="17" s="1"/>
  <c r="AE20" i="17" s="1"/>
  <c r="G8" i="17"/>
  <c r="G5" i="17" s="1"/>
  <c r="AD20" i="17" s="1"/>
  <c r="AG27" i="17"/>
  <c r="AG27" i="16"/>
  <c r="AF27" i="16"/>
  <c r="AB27" i="16"/>
  <c r="J8" i="16"/>
  <c r="J5" i="16" s="1"/>
  <c r="AA20" i="16" s="1"/>
  <c r="C27" i="16" s="1"/>
  <c r="AC27" i="15"/>
  <c r="G8" i="15"/>
  <c r="G5" i="15" s="1"/>
  <c r="W21" i="15" s="1"/>
  <c r="AG27" i="15"/>
  <c r="G27" i="16" a="1"/>
  <c r="C28" i="19" l="1"/>
  <c r="X21" i="19"/>
  <c r="AC27" i="19"/>
  <c r="C12" i="19"/>
  <c r="C12" i="18"/>
  <c r="AF20" i="18"/>
  <c r="AC27" i="18"/>
  <c r="C27" i="18"/>
  <c r="C27" i="17"/>
  <c r="AB27" i="17"/>
  <c r="C12" i="17"/>
  <c r="AC27" i="17"/>
  <c r="G27" i="16"/>
  <c r="C26" i="16"/>
  <c r="AC27" i="16"/>
  <c r="C12" i="16"/>
  <c r="AB27" i="15"/>
  <c r="C28" i="15"/>
  <c r="C12" i="15"/>
  <c r="G28" i="19" a="1"/>
  <c r="G27" i="18" a="1"/>
  <c r="G27" i="17" a="1"/>
  <c r="C13" i="15" a="1"/>
  <c r="C13" i="17" a="1"/>
  <c r="C13" i="19" a="1"/>
  <c r="C13" i="16" a="1"/>
  <c r="C13" i="18" a="1"/>
  <c r="G26" i="16" a="1"/>
  <c r="G28" i="15" a="1"/>
  <c r="C13" i="18" l="1"/>
  <c r="C13" i="19"/>
  <c r="G28" i="19"/>
  <c r="G27" i="18"/>
  <c r="G27" i="17"/>
  <c r="C13" i="17"/>
  <c r="C28" i="17"/>
  <c r="C13" i="16"/>
  <c r="G26" i="16"/>
  <c r="C13" i="15"/>
  <c r="G28" i="15"/>
  <c r="G28" i="17" a="1"/>
  <c r="G28" i="17" l="1"/>
  <c r="V26" i="13"/>
  <c r="AG32" i="9"/>
  <c r="AF32" i="9"/>
  <c r="AE32" i="9"/>
  <c r="AD32" i="9"/>
  <c r="AA32" i="9"/>
  <c r="V31" i="9"/>
  <c r="V30" i="9"/>
  <c r="AG27" i="12"/>
  <c r="AF27" i="12"/>
  <c r="AE27" i="12"/>
  <c r="AD27" i="12"/>
  <c r="AA27" i="12"/>
  <c r="V26" i="12"/>
  <c r="V25" i="12"/>
  <c r="AG27" i="11"/>
  <c r="AF27" i="11"/>
  <c r="AE27" i="11"/>
  <c r="AD27" i="11"/>
  <c r="AA27" i="11"/>
  <c r="V26" i="11"/>
  <c r="V25" i="11"/>
  <c r="AG27" i="10"/>
  <c r="AF27" i="10"/>
  <c r="AE27" i="10"/>
  <c r="AD27" i="10"/>
  <c r="AA27" i="10"/>
  <c r="V26" i="10"/>
  <c r="V25" i="10"/>
  <c r="V26" i="8"/>
  <c r="V25" i="8"/>
  <c r="AG27" i="7"/>
  <c r="AF27" i="7"/>
  <c r="AE27" i="7"/>
  <c r="AD27" i="7"/>
  <c r="AA27" i="7"/>
  <c r="V26" i="7"/>
  <c r="V25" i="7"/>
  <c r="AG27" i="6"/>
  <c r="AF27" i="6"/>
  <c r="AE27" i="6"/>
  <c r="AD27" i="6"/>
  <c r="AA27" i="6"/>
  <c r="V26" i="6"/>
  <c r="V25" i="6"/>
  <c r="AG27" i="14"/>
  <c r="AF27" i="14"/>
  <c r="AE27" i="14"/>
  <c r="AD27" i="14"/>
  <c r="AA27" i="14"/>
  <c r="V25" i="14"/>
  <c r="V26" i="14" s="1"/>
  <c r="X20" i="14" l="1"/>
  <c r="W20" i="14"/>
  <c r="AL19" i="14"/>
  <c r="AK19" i="14"/>
  <c r="AH19" i="14"/>
  <c r="P8" i="14"/>
  <c r="N8" i="14"/>
  <c r="L8" i="14"/>
  <c r="I8" i="14"/>
  <c r="H8" i="14"/>
  <c r="F8" i="14"/>
  <c r="E8" i="14"/>
  <c r="T7" i="14"/>
  <c r="T8" i="14" s="1"/>
  <c r="S7" i="14"/>
  <c r="S8" i="14" s="1"/>
  <c r="R7" i="14"/>
  <c r="R8" i="14" s="1"/>
  <c r="Q7" i="14"/>
  <c r="Q8" i="14" s="1"/>
  <c r="O7" i="14"/>
  <c r="O8" i="14" s="1"/>
  <c r="O5" i="14" s="1"/>
  <c r="M7" i="14"/>
  <c r="M8" i="14" s="1"/>
  <c r="M5" i="14" s="1"/>
  <c r="Q5" i="14"/>
  <c r="C5" i="14"/>
  <c r="C30" i="13"/>
  <c r="C29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P8" i="13"/>
  <c r="N8" i="13"/>
  <c r="L8" i="13"/>
  <c r="I8" i="13"/>
  <c r="H8" i="13"/>
  <c r="F8" i="13"/>
  <c r="C5" i="13" s="1"/>
  <c r="AA27" i="13" s="1"/>
  <c r="E8" i="13"/>
  <c r="T7" i="13"/>
  <c r="T8" i="13" s="1"/>
  <c r="S7" i="13"/>
  <c r="S8" i="13" s="1"/>
  <c r="R7" i="13"/>
  <c r="R8" i="13" s="1"/>
  <c r="Q7" i="13"/>
  <c r="Q8" i="13" s="1"/>
  <c r="Q5" i="13" s="1"/>
  <c r="O7" i="13"/>
  <c r="O8" i="13" s="1"/>
  <c r="M7" i="13"/>
  <c r="M8" i="13" s="1"/>
  <c r="M5" i="13" s="1"/>
  <c r="C30" i="12"/>
  <c r="C29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S8" i="12"/>
  <c r="P8" i="12"/>
  <c r="O8" i="12"/>
  <c r="O5" i="12" s="1"/>
  <c r="Z21" i="12" s="1"/>
  <c r="N8" i="12"/>
  <c r="L8" i="12"/>
  <c r="I8" i="12"/>
  <c r="H8" i="12"/>
  <c r="F8" i="12"/>
  <c r="E8" i="12"/>
  <c r="T7" i="12"/>
  <c r="T8" i="12" s="1"/>
  <c r="S5" i="12" s="1"/>
  <c r="AB21" i="12" s="1"/>
  <c r="S7" i="12"/>
  <c r="R7" i="12"/>
  <c r="R8" i="12" s="1"/>
  <c r="Q7" i="12"/>
  <c r="Q8" i="12" s="1"/>
  <c r="Q5" i="12" s="1"/>
  <c r="AA21" i="12" s="1"/>
  <c r="O7" i="12"/>
  <c r="M7" i="12"/>
  <c r="M8" i="12" s="1"/>
  <c r="M5" i="12" s="1"/>
  <c r="Y21" i="12" s="1"/>
  <c r="Z22" i="11"/>
  <c r="AA22" i="11"/>
  <c r="AB22" i="11"/>
  <c r="AC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H8" i="11"/>
  <c r="E8" i="11"/>
  <c r="C5" i="11" s="1"/>
  <c r="W22" i="11" s="1"/>
  <c r="O5" i="11"/>
  <c r="M5" i="11"/>
  <c r="AJ20" i="10"/>
  <c r="AI20" i="10"/>
  <c r="AH20" i="10"/>
  <c r="AG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P8" i="9"/>
  <c r="N8" i="9"/>
  <c r="L8" i="9"/>
  <c r="I8" i="9"/>
  <c r="H8" i="9"/>
  <c r="F8" i="9"/>
  <c r="C5" i="9" s="1"/>
  <c r="AK19" i="9" s="1"/>
  <c r="E8" i="9"/>
  <c r="T7" i="9"/>
  <c r="T8" i="9" s="1"/>
  <c r="S7" i="9"/>
  <c r="S8" i="9" s="1"/>
  <c r="R7" i="9"/>
  <c r="R8" i="9" s="1"/>
  <c r="Q7" i="9"/>
  <c r="Q8" i="9" s="1"/>
  <c r="O7" i="9"/>
  <c r="O8" i="9" s="1"/>
  <c r="M7" i="9"/>
  <c r="M8" i="9" s="1"/>
  <c r="O5" i="9"/>
  <c r="Y20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C5" i="8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F21" i="7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P8" i="6"/>
  <c r="N8" i="6"/>
  <c r="L8" i="6"/>
  <c r="I8" i="6"/>
  <c r="H8" i="6"/>
  <c r="F8" i="6"/>
  <c r="E8" i="6"/>
  <c r="T7" i="6"/>
  <c r="T8" i="6" s="1"/>
  <c r="S7" i="6"/>
  <c r="S8" i="6" s="1"/>
  <c r="S5" i="6" s="1"/>
  <c r="X20" i="6" s="1"/>
  <c r="R7" i="6"/>
  <c r="R8" i="6" s="1"/>
  <c r="Q7" i="6"/>
  <c r="Q8" i="6" s="1"/>
  <c r="O7" i="6"/>
  <c r="O8" i="6" s="1"/>
  <c r="O5" i="6" s="1"/>
  <c r="AL19" i="6" s="1"/>
  <c r="M7" i="6"/>
  <c r="M8" i="6" s="1"/>
  <c r="M5" i="6" s="1"/>
  <c r="AK19" i="6" s="1"/>
  <c r="C5" i="6"/>
  <c r="S5" i="13" l="1"/>
  <c r="AA21" i="13"/>
  <c r="AF27" i="13"/>
  <c r="O5" i="13"/>
  <c r="Z21" i="13" s="1"/>
  <c r="Y21" i="13"/>
  <c r="AD27" i="13"/>
  <c r="AL20" i="8"/>
  <c r="AA27" i="8"/>
  <c r="S5" i="14"/>
  <c r="AL20" i="13"/>
  <c r="M5" i="9"/>
  <c r="X20" i="9" s="1"/>
  <c r="S5" i="9"/>
  <c r="AA20" i="9" s="1"/>
  <c r="Q5" i="9"/>
  <c r="C5" i="12"/>
  <c r="M5" i="8"/>
  <c r="Q5" i="11"/>
  <c r="S5" i="11"/>
  <c r="C27" i="11"/>
  <c r="Q5" i="10"/>
  <c r="S5" i="10"/>
  <c r="O5" i="8"/>
  <c r="S5" i="8"/>
  <c r="Q5" i="8"/>
  <c r="C5" i="7"/>
  <c r="M5" i="7"/>
  <c r="AI21" i="7" s="1"/>
  <c r="O5" i="7"/>
  <c r="AJ21" i="7" s="1"/>
  <c r="Q5" i="7"/>
  <c r="S5" i="7"/>
  <c r="Q5" i="6"/>
  <c r="W20" i="6" s="1"/>
  <c r="AB21" i="13" l="1"/>
  <c r="AG27" i="13"/>
  <c r="AE27" i="13"/>
  <c r="C27" i="8"/>
  <c r="AD27" i="8"/>
  <c r="Z21" i="8"/>
  <c r="AE27" i="8"/>
  <c r="AA21" i="8"/>
  <c r="AF27" i="8"/>
  <c r="AB21" i="8"/>
  <c r="AG27" i="8"/>
  <c r="Z20" i="9"/>
  <c r="Y21" i="8"/>
  <c r="AL20" i="12"/>
  <c r="AQ8" i="7" a="1"/>
  <c r="AP31" i="14" a="1"/>
  <c r="AP26" i="12" a="1"/>
  <c r="AP7" i="14" a="1"/>
  <c r="G24" i="12" a="1"/>
  <c r="AQ14" i="10" a="1"/>
  <c r="G26" i="10" a="1"/>
  <c r="AP30" i="13" a="1"/>
  <c r="AP33" i="10" a="1"/>
  <c r="AQ24" i="14" a="1"/>
  <c r="AQ7" i="5" a="1"/>
  <c r="AP9" i="8" a="1"/>
  <c r="AQ11" i="12" a="1"/>
  <c r="AQ32" i="11" a="1"/>
  <c r="AQ20" i="9" a="1"/>
  <c r="G30" i="12" a="1"/>
  <c r="AQ32" i="12" a="1"/>
  <c r="G20" i="14" a="1"/>
  <c r="AP8" i="14" a="1"/>
  <c r="AQ22" i="10" a="1"/>
  <c r="AQ5" i="8" a="1"/>
  <c r="AP36" i="12" a="1"/>
  <c r="AQ15" i="9" a="1"/>
  <c r="AQ34" i="7" a="1"/>
  <c r="G23" i="12" a="1"/>
  <c r="AP13" i="12" a="1"/>
  <c r="AQ24" i="12" a="1"/>
  <c r="G19" i="9" a="1"/>
  <c r="AQ31" i="6" a="1"/>
  <c r="AQ14" i="9" a="1"/>
  <c r="AP28" i="6" a="1"/>
  <c r="AQ10" i="14" a="1"/>
  <c r="G30" i="10" a="1"/>
  <c r="AP26" i="13" a="1"/>
  <c r="AP18" i="8" a="1"/>
  <c r="G25" i="13" a="1"/>
  <c r="AQ30" i="8" a="1"/>
  <c r="AQ17" i="6" a="1"/>
  <c r="AQ19" i="12" a="1"/>
  <c r="AQ30" i="5" a="1"/>
  <c r="AP22" i="11" a="1"/>
  <c r="AP20" i="5" a="1"/>
  <c r="AP26" i="10" a="1"/>
  <c r="AQ25" i="10" a="1"/>
  <c r="AQ13" i="12" a="1"/>
  <c r="G22" i="7" a="1"/>
  <c r="AP24" i="12" a="1"/>
  <c r="AP32" i="7" a="1"/>
  <c r="AQ6" i="5" a="1"/>
  <c r="G16" i="14" a="1"/>
  <c r="AQ13" i="10" a="1"/>
  <c r="AP8" i="13" a="1"/>
  <c r="AP24" i="8" a="1"/>
  <c r="G20" i="7" a="1"/>
  <c r="AQ8" i="6" a="1"/>
  <c r="AP19" i="7" a="1"/>
  <c r="AQ19" i="10" a="1"/>
  <c r="G15" i="6" a="1"/>
  <c r="AQ13" i="9" a="1"/>
  <c r="G29" i="14" a="1"/>
  <c r="G18" i="13" a="1"/>
  <c r="AQ34" i="11" a="1"/>
  <c r="AP27" i="13" a="1"/>
  <c r="AP16" i="13" a="1"/>
  <c r="AP18" i="6" a="1"/>
  <c r="AP36" i="13" a="1"/>
  <c r="AP19" i="8" a="1"/>
  <c r="AQ8" i="13" a="1"/>
  <c r="AP19" i="12" a="1"/>
  <c r="G14" i="7" a="1"/>
  <c r="AP27" i="11" a="1"/>
  <c r="AP19" i="13" a="1"/>
  <c r="AP11" i="12" a="1"/>
  <c r="G30" i="6" a="1"/>
  <c r="AQ15" i="13" a="1"/>
  <c r="AP32" i="13" a="1"/>
  <c r="AQ6" i="7" a="1"/>
  <c r="AQ36" i="9" a="1"/>
  <c r="G25" i="7" a="1"/>
  <c r="AQ17" i="13" a="1"/>
  <c r="AP15" i="9" a="1"/>
  <c r="AP28" i="11" a="1"/>
  <c r="G20" i="8" a="1"/>
  <c r="AQ21" i="7" a="1"/>
  <c r="AP5" i="6" a="1"/>
  <c r="AQ35" i="7" a="1"/>
  <c r="G18" i="7" a="1"/>
  <c r="G14" i="11" a="1"/>
  <c r="AQ10" i="10" a="1"/>
  <c r="AP29" i="11" a="1"/>
  <c r="G16" i="12" a="1"/>
  <c r="AP10" i="14" a="1"/>
  <c r="AQ22" i="7" a="1"/>
  <c r="AP31" i="13" a="1"/>
  <c r="AQ30" i="10" a="1"/>
  <c r="AP24" i="9" a="1"/>
  <c r="AQ33" i="12" a="1"/>
  <c r="AQ10" i="13" a="1"/>
  <c r="G15" i="8" a="1"/>
  <c r="AP20" i="10" a="1"/>
  <c r="G19" i="10" a="1"/>
  <c r="G16" i="9" a="1"/>
  <c r="AQ19" i="13" a="1"/>
  <c r="AQ35" i="6" a="1"/>
  <c r="AQ9" i="6" a="1"/>
  <c r="AP36" i="10" a="1"/>
  <c r="AQ35" i="8" a="1"/>
  <c r="G25" i="14" a="1"/>
  <c r="G16" i="13" a="1"/>
  <c r="AQ13" i="13" a="1"/>
  <c r="AP33" i="13" a="1"/>
  <c r="AQ23" i="5" a="1"/>
  <c r="AQ35" i="14" a="1"/>
  <c r="AQ30" i="6" a="1"/>
  <c r="AQ26" i="5" a="1"/>
  <c r="AQ25" i="7" a="1"/>
  <c r="AQ12" i="13" a="1"/>
  <c r="AQ13" i="14" a="1"/>
  <c r="AP17" i="8" a="1"/>
  <c r="AQ8" i="9" a="1"/>
  <c r="G15" i="7" a="1"/>
  <c r="AP23" i="10" a="1"/>
  <c r="G28" i="11" a="1"/>
  <c r="AP33" i="5" a="1"/>
  <c r="AQ8" i="8" a="1"/>
  <c r="AP17" i="14" a="1"/>
  <c r="AQ9" i="10" a="1"/>
  <c r="AP7" i="5" a="1"/>
  <c r="G16" i="7" a="1"/>
  <c r="AQ24" i="7" a="1"/>
  <c r="G23" i="6" a="1"/>
  <c r="AP27" i="14" a="1"/>
  <c r="AP18" i="13" a="1"/>
  <c r="G15" i="9" a="1"/>
  <c r="G29" i="6" a="1"/>
  <c r="AQ35" i="13" a="1"/>
  <c r="G14" i="6" a="1"/>
  <c r="AP22" i="7" a="1"/>
  <c r="AQ12" i="7" a="1"/>
  <c r="AP30" i="10" a="1"/>
  <c r="AP16" i="10" a="1"/>
  <c r="AQ13" i="6" a="1"/>
  <c r="AP33" i="6" a="1"/>
  <c r="AP23" i="7" a="1"/>
  <c r="AP18" i="5" a="1"/>
  <c r="AQ29" i="14" a="1"/>
  <c r="AQ20" i="14" a="1"/>
  <c r="AQ16" i="11" a="1"/>
  <c r="AP25" i="10" a="1"/>
  <c r="AQ28" i="5" a="1"/>
  <c r="AP36" i="5" a="1"/>
  <c r="AQ32" i="6" a="1"/>
  <c r="AP15" i="5" a="1"/>
  <c r="G23" i="9" a="1"/>
  <c r="AP6" i="11" a="1"/>
  <c r="AP6" i="10" a="1"/>
  <c r="AP21" i="10" a="1"/>
  <c r="AQ7" i="12" a="1"/>
  <c r="AQ17" i="10" a="1"/>
  <c r="AP29" i="14" a="1"/>
  <c r="AQ33" i="10" a="1"/>
  <c r="AP20" i="14" a="1"/>
  <c r="AQ28" i="6" a="1"/>
  <c r="AQ36" i="13" a="1"/>
  <c r="AP27" i="6" a="1"/>
  <c r="AP25" i="9" a="1"/>
  <c r="AQ34" i="8" a="1"/>
  <c r="AQ17" i="8" a="1"/>
  <c r="AQ8" i="5" a="1"/>
  <c r="AP24" i="6" a="1"/>
  <c r="AQ7" i="14" a="1"/>
  <c r="AQ27" i="13" a="1"/>
  <c r="AQ14" i="7" a="1"/>
  <c r="G14" i="13" a="1"/>
  <c r="AP32" i="8" a="1"/>
  <c r="AP30" i="5" a="1"/>
  <c r="G18" i="10" a="1"/>
  <c r="AQ34" i="5" a="1"/>
  <c r="AQ27" i="5" a="1"/>
  <c r="G28" i="9" a="1"/>
  <c r="G17" i="11" a="1"/>
  <c r="AQ29" i="5" a="1"/>
  <c r="G21" i="11" a="1"/>
  <c r="AP14" i="11" a="1"/>
  <c r="AQ6" i="13" a="1"/>
  <c r="G14" i="12" a="1"/>
  <c r="AP26" i="11" a="1"/>
  <c r="G17" i="13" a="1"/>
  <c r="AP29" i="5" a="1"/>
  <c r="AQ11" i="13" a="1"/>
  <c r="AQ14" i="11" a="1"/>
  <c r="AQ24" i="13" a="1"/>
  <c r="AQ15" i="10" a="1"/>
  <c r="AQ21" i="13" a="1"/>
  <c r="G17" i="9" a="1"/>
  <c r="AP28" i="5" a="1"/>
  <c r="AQ23" i="7" a="1"/>
  <c r="G19" i="7" a="1"/>
  <c r="AP6" i="5" a="1"/>
  <c r="AQ16" i="8" a="1"/>
  <c r="AP34" i="14" a="1"/>
  <c r="AP8" i="10" a="1"/>
  <c r="AP32" i="6" a="1"/>
  <c r="AQ26" i="13" a="1"/>
  <c r="AQ11" i="5" a="1"/>
  <c r="AP31" i="6" a="1"/>
  <c r="G14" i="8" a="1"/>
  <c r="AQ26" i="10" a="1"/>
  <c r="AP27" i="9" a="1"/>
  <c r="AQ10" i="12" a="1"/>
  <c r="AP22" i="9" a="1"/>
  <c r="AP10" i="6" a="1"/>
  <c r="G15" i="10" a="1"/>
  <c r="AQ22" i="12" a="1"/>
  <c r="AP17" i="5" a="1"/>
  <c r="AQ15" i="14" a="1"/>
  <c r="AP5" i="5" a="1"/>
  <c r="AP22" i="14" a="1"/>
  <c r="G22" i="6" a="1"/>
  <c r="AQ9" i="8" a="1"/>
  <c r="AQ31" i="9" a="1"/>
  <c r="AQ19" i="7" a="1"/>
  <c r="AQ5" i="7" a="1"/>
  <c r="AP8" i="7" a="1"/>
  <c r="AQ36" i="12" a="1"/>
  <c r="AP10" i="11" a="1"/>
  <c r="AP35" i="14" a="1"/>
  <c r="AQ26" i="9" a="1"/>
  <c r="G21" i="6" a="1"/>
  <c r="AQ32" i="13" a="1"/>
  <c r="G24" i="8" a="1"/>
  <c r="AQ18" i="6" a="1"/>
  <c r="AP31" i="9" a="1"/>
  <c r="AP36" i="8" a="1"/>
  <c r="AQ31" i="12" a="1"/>
  <c r="AQ27" i="10" a="1"/>
  <c r="AP27" i="12" a="1"/>
  <c r="AP18" i="14" a="1"/>
  <c r="G15" i="11" a="1"/>
  <c r="AQ10" i="7" a="1"/>
  <c r="AQ29" i="11" a="1"/>
  <c r="G25" i="6" a="1"/>
  <c r="AQ36" i="10" a="1"/>
  <c r="AQ5" i="10" a="1"/>
  <c r="AP33" i="11" a="1"/>
  <c r="G15" i="14" a="1"/>
  <c r="AQ22" i="9" a="1"/>
  <c r="G27" i="11" a="1"/>
  <c r="AP15" i="14" a="1"/>
  <c r="AQ15" i="11" a="1"/>
  <c r="G20" i="10" a="1"/>
  <c r="AP35" i="7" a="1"/>
  <c r="AQ7" i="7" a="1"/>
  <c r="AQ19" i="6" a="1"/>
  <c r="AQ9" i="7" a="1"/>
  <c r="AP14" i="10" a="1"/>
  <c r="AP22" i="10" a="1"/>
  <c r="AQ5" i="9" a="1"/>
  <c r="AQ14" i="14" a="1"/>
  <c r="G24" i="6" a="1"/>
  <c r="AQ16" i="12" a="1"/>
  <c r="AP29" i="13" a="1"/>
  <c r="AP36" i="14" a="1"/>
  <c r="AQ7" i="13" a="1"/>
  <c r="AP18" i="12" a="1"/>
  <c r="AP35" i="13" a="1"/>
  <c r="AP23" i="6" a="1"/>
  <c r="AP5" i="14" a="1"/>
  <c r="AP5" i="9" a="1"/>
  <c r="AP24" i="10" a="1"/>
  <c r="AQ32" i="8" a="1"/>
  <c r="G21" i="12" a="1"/>
  <c r="AP26" i="9" a="1"/>
  <c r="AP31" i="7" a="1"/>
  <c r="AQ25" i="6" a="1"/>
  <c r="AQ13" i="11" a="1"/>
  <c r="G15" i="12" a="1"/>
  <c r="AQ11" i="10" a="1"/>
  <c r="AQ25" i="13" a="1"/>
  <c r="AQ20" i="12" a="1"/>
  <c r="AP13" i="8" a="1"/>
  <c r="AQ12" i="6" a="1"/>
  <c r="AQ20" i="7" a="1"/>
  <c r="AP7" i="7" a="1"/>
  <c r="G18" i="6" a="1"/>
  <c r="AQ7" i="6" a="1"/>
  <c r="AQ16" i="14" a="1"/>
  <c r="AP23" i="9" a="1"/>
  <c r="AP15" i="13" a="1"/>
  <c r="AP8" i="5" a="1"/>
  <c r="AQ34" i="13" a="1"/>
  <c r="AQ28" i="11" a="1"/>
  <c r="AQ22" i="6" a="1"/>
  <c r="AQ23" i="13" a="1"/>
  <c r="AQ31" i="13" a="1"/>
  <c r="AQ16" i="7" a="1"/>
  <c r="AP36" i="9" a="1"/>
  <c r="AP28" i="8" a="1"/>
  <c r="AQ26" i="11" a="1"/>
  <c r="AQ36" i="5" a="1"/>
  <c r="AP29" i="9" a="1"/>
  <c r="AQ10" i="8" a="1"/>
  <c r="AP12" i="12" a="1"/>
  <c r="AP27" i="10" a="1"/>
  <c r="AQ21" i="10" a="1"/>
  <c r="AQ29" i="12" a="1"/>
  <c r="AQ20" i="6" a="1"/>
  <c r="AQ11" i="6" a="1"/>
  <c r="AQ36" i="11" a="1"/>
  <c r="AP18" i="7" a="1"/>
  <c r="AP21" i="13" a="1"/>
  <c r="G17" i="10" a="1"/>
  <c r="AP5" i="13" a="1"/>
  <c r="AQ32" i="9" a="1"/>
  <c r="AP6" i="9" a="1"/>
  <c r="G20" i="9" a="1"/>
  <c r="AP9" i="10" a="1"/>
  <c r="AP5" i="7" a="1"/>
  <c r="AQ7" i="10" a="1"/>
  <c r="AP11" i="8" a="1"/>
  <c r="AP28" i="7" a="1"/>
  <c r="AQ20" i="11" a="1"/>
  <c r="AQ17" i="11" a="1"/>
  <c r="AP5" i="10" a="1"/>
  <c r="AP32" i="10" a="1"/>
  <c r="AP12" i="8" a="1"/>
  <c r="G28" i="6" a="1"/>
  <c r="AQ14" i="13" a="1"/>
  <c r="AP13" i="6" a="1"/>
  <c r="G29" i="13" a="1"/>
  <c r="G24" i="11" a="1"/>
  <c r="AQ14" i="12" a="1"/>
  <c r="AQ30" i="14" a="1"/>
  <c r="AP15" i="6" a="1"/>
  <c r="AQ18" i="12" a="1"/>
  <c r="G30" i="14" a="1"/>
  <c r="AP11" i="6" a="1"/>
  <c r="AQ14" i="6" a="1"/>
  <c r="AP5" i="12" a="1"/>
  <c r="AQ36" i="8" a="1"/>
  <c r="AP6" i="8" a="1"/>
  <c r="AQ33" i="14" a="1"/>
  <c r="AP6" i="14" a="1"/>
  <c r="AP7" i="13" a="1"/>
  <c r="AP15" i="10" a="1"/>
  <c r="AQ13" i="7" a="1"/>
  <c r="AP12" i="11" a="1"/>
  <c r="G19" i="13" a="1"/>
  <c r="AP8" i="11" a="1"/>
  <c r="AP30" i="8" a="1"/>
  <c r="AP24" i="11" a="1"/>
  <c r="AP23" i="8" a="1"/>
  <c r="G25" i="8" a="1"/>
  <c r="AQ34" i="6" a="1"/>
  <c r="AQ12" i="5" a="1"/>
  <c r="AP17" i="12" a="1"/>
  <c r="AP18" i="11" a="1"/>
  <c r="AP35" i="8" a="1"/>
  <c r="G16" i="10" a="1"/>
  <c r="AP25" i="14" a="1"/>
  <c r="AP20" i="8" a="1"/>
  <c r="AQ28" i="13" a="1"/>
  <c r="AP27" i="8" a="1"/>
  <c r="AQ12" i="8" a="1"/>
  <c r="AP21" i="6" a="1"/>
  <c r="AQ21" i="9" a="1"/>
  <c r="AQ24" i="10" a="1"/>
  <c r="AQ30" i="13" a="1"/>
  <c r="AQ31" i="8" a="1"/>
  <c r="AP10" i="7" a="1"/>
  <c r="AP7" i="9" a="1"/>
  <c r="G17" i="6" a="1"/>
  <c r="AQ35" i="9" a="1"/>
  <c r="AP17" i="6" a="1"/>
  <c r="AP14" i="12" a="1"/>
  <c r="AQ22" i="14" a="1"/>
  <c r="G23" i="11" a="1"/>
  <c r="G14" i="14" a="1"/>
  <c r="AP34" i="6" a="1"/>
  <c r="AQ12" i="9" a="1"/>
  <c r="G21" i="9" a="1"/>
  <c r="AQ28" i="10" a="1"/>
  <c r="G17" i="7" a="1"/>
  <c r="AQ28" i="14" a="1"/>
  <c r="G30" i="8" a="1"/>
  <c r="AP19" i="14" a="1"/>
  <c r="AP21" i="5" a="1"/>
  <c r="AQ6" i="11" a="1"/>
  <c r="AP6" i="7" a="1"/>
  <c r="AQ17" i="7" a="1"/>
  <c r="AP27" i="5" a="1"/>
  <c r="AP23" i="13" a="1"/>
  <c r="AQ12" i="12" a="1"/>
  <c r="AQ28" i="9" a="1"/>
  <c r="AQ27" i="12" a="1"/>
  <c r="AP19" i="6" a="1"/>
  <c r="AQ16" i="6" a="1"/>
  <c r="AP11" i="10" a="1"/>
  <c r="AP34" i="7" a="1"/>
  <c r="AQ18" i="7" a="1"/>
  <c r="AP11" i="5" a="1"/>
  <c r="AP14" i="8" a="1"/>
  <c r="AQ10" i="11" a="1"/>
  <c r="AP32" i="12" a="1"/>
  <c r="G26" i="12" a="1"/>
  <c r="AQ27" i="6" a="1"/>
  <c r="AP13" i="7" a="1"/>
  <c r="AQ33" i="11" a="1"/>
  <c r="G16" i="11" a="1"/>
  <c r="AQ32" i="7" a="1"/>
  <c r="AQ32" i="14" a="1"/>
  <c r="AP31" i="12" a="1"/>
  <c r="AP12" i="7" a="1"/>
  <c r="AQ21" i="14" a="1"/>
  <c r="AP20" i="13" a="1"/>
  <c r="G22" i="13" a="1"/>
  <c r="AP14" i="5" a="1"/>
  <c r="AQ17" i="5" a="1"/>
  <c r="AQ7" i="8" a="1"/>
  <c r="AQ35" i="12" a="1"/>
  <c r="AP32" i="11" a="1"/>
  <c r="AQ9" i="9" a="1"/>
  <c r="AQ31" i="14" a="1"/>
  <c r="AQ24" i="8" a="1"/>
  <c r="AQ28" i="12" a="1"/>
  <c r="G16" i="8" a="1"/>
  <c r="AQ33" i="9" a="1"/>
  <c r="AQ32" i="10" a="1"/>
  <c r="AQ5" i="12" a="1"/>
  <c r="AQ30" i="12" a="1"/>
  <c r="AP9" i="9" a="1"/>
  <c r="AQ35" i="10" a="1"/>
  <c r="AP22" i="13" a="1"/>
  <c r="G20" i="12" a="1"/>
  <c r="AQ23" i="10" a="1"/>
  <c r="AP33" i="8" a="1"/>
  <c r="G23" i="14" a="1"/>
  <c r="AP19" i="10" a="1"/>
  <c r="G22" i="12" a="1"/>
  <c r="AP9" i="6" a="1"/>
  <c r="AQ35" i="11" a="1"/>
  <c r="AP28" i="9" a="1"/>
  <c r="AP35" i="6" a="1"/>
  <c r="AQ8" i="12" a="1"/>
  <c r="G20" i="13" a="1"/>
  <c r="AQ26" i="7" a="1"/>
  <c r="AQ24" i="5" a="1"/>
  <c r="AQ34" i="12" a="1"/>
  <c r="AQ5" i="6" a="1"/>
  <c r="AP30" i="9" a="1"/>
  <c r="AQ10" i="9" a="1"/>
  <c r="AP22" i="6" a="1"/>
  <c r="AP26" i="6" a="1"/>
  <c r="AP13" i="5" a="1"/>
  <c r="AP23" i="11" a="1"/>
  <c r="AP23" i="14" a="1"/>
  <c r="G22" i="8" a="1"/>
  <c r="G29" i="8" a="1"/>
  <c r="G23" i="10" a="1"/>
  <c r="AQ25" i="11" a="1"/>
  <c r="AQ21" i="6" a="1"/>
  <c r="AP16" i="7" a="1"/>
  <c r="AQ20" i="5" a="1"/>
  <c r="AP28" i="14" a="1"/>
  <c r="AP32" i="14" a="1"/>
  <c r="AP35" i="9" a="1"/>
  <c r="AQ5" i="14" a="1"/>
  <c r="AP10" i="12" a="1"/>
  <c r="AP11" i="14" a="1"/>
  <c r="AP9" i="5" a="1"/>
  <c r="AQ33" i="8" a="1"/>
  <c r="AQ22" i="11" a="1"/>
  <c r="G19" i="14" a="1"/>
  <c r="AP24" i="13" a="1"/>
  <c r="G27" i="12" a="1"/>
  <c r="AP35" i="5" a="1"/>
  <c r="AQ22" i="5" a="1"/>
  <c r="AP18" i="10" a="1"/>
  <c r="AQ18" i="10" a="1"/>
  <c r="AP10" i="8" a="1"/>
  <c r="AP34" i="9" a="1"/>
  <c r="AQ17" i="14" a="1"/>
  <c r="AQ13" i="8" a="1"/>
  <c r="AQ11" i="8" a="1"/>
  <c r="AQ19" i="5" a="1"/>
  <c r="AQ18" i="9" a="1"/>
  <c r="AQ19" i="9" a="1"/>
  <c r="AQ31" i="11" a="1"/>
  <c r="G21" i="8" a="1"/>
  <c r="AP36" i="7" a="1"/>
  <c r="AQ16" i="5" a="1"/>
  <c r="AQ13" i="5" a="1"/>
  <c r="G17" i="8" a="1"/>
  <c r="G24" i="10" a="1"/>
  <c r="AQ24" i="6" a="1"/>
  <c r="AP14" i="6" a="1"/>
  <c r="AP9" i="11" a="1"/>
  <c r="AP23" i="5" a="1"/>
  <c r="AQ26" i="14" a="1"/>
  <c r="AP9" i="13" a="1"/>
  <c r="AP28" i="12" a="1"/>
  <c r="AQ14" i="8" a="1"/>
  <c r="AQ12" i="11" a="1"/>
  <c r="G25" i="10" a="1"/>
  <c r="AQ5" i="5" a="1"/>
  <c r="AQ29" i="10" a="1"/>
  <c r="AP21" i="11" a="1"/>
  <c r="G23" i="8" a="1"/>
  <c r="AP36" i="11" a="1"/>
  <c r="AP29" i="12" a="1"/>
  <c r="AQ34" i="10" a="1"/>
  <c r="AP10" i="10" a="1"/>
  <c r="AQ12" i="10" a="1"/>
  <c r="AQ23" i="8" a="1"/>
  <c r="AQ19" i="14" a="1"/>
  <c r="AQ29" i="13" a="1"/>
  <c r="G21" i="7" a="1"/>
  <c r="G30" i="7" a="1"/>
  <c r="AP23" i="12" a="1"/>
  <c r="AQ11" i="14" a="1"/>
  <c r="AQ17" i="12" a="1"/>
  <c r="AP11" i="13" a="1"/>
  <c r="AP19" i="9" a="1"/>
  <c r="AQ14" i="5" a="1"/>
  <c r="AP9" i="7" a="1"/>
  <c r="AP25" i="5" a="1"/>
  <c r="AP17" i="9" a="1"/>
  <c r="AP10" i="9" a="1"/>
  <c r="AP30" i="12" a="1"/>
  <c r="AQ17" i="9" a="1"/>
  <c r="AP17" i="10" a="1"/>
  <c r="AQ18" i="11" a="1"/>
  <c r="AP25" i="6" a="1"/>
  <c r="AP5" i="11" a="1"/>
  <c r="G22" i="9" a="1"/>
  <c r="G29" i="7" a="1"/>
  <c r="AP11" i="11" a="1"/>
  <c r="AP16" i="12" a="1"/>
  <c r="AP26" i="14" a="1"/>
  <c r="AP14" i="13" a="1"/>
  <c r="G14" i="10" a="1"/>
  <c r="AQ11" i="11" a="1"/>
  <c r="AP27" i="7" a="1"/>
  <c r="AP12" i="6" a="1"/>
  <c r="AP31" i="5" a="1"/>
  <c r="AP21" i="14" a="1"/>
  <c r="G21" i="10" a="1"/>
  <c r="G20" i="6" a="1"/>
  <c r="AQ20" i="10" a="1"/>
  <c r="AP12" i="10" a="1"/>
  <c r="AQ33" i="13" a="1"/>
  <c r="AP22" i="12" a="1"/>
  <c r="AQ21" i="11" a="1"/>
  <c r="AP15" i="11" a="1"/>
  <c r="AP13" i="14" a="1"/>
  <c r="AP34" i="13" a="1"/>
  <c r="AQ27" i="8" a="1"/>
  <c r="AP24" i="14" a="1"/>
  <c r="AQ25" i="12" a="1"/>
  <c r="AQ30" i="11" a="1"/>
  <c r="AP15" i="7" a="1"/>
  <c r="AP15" i="8" a="1"/>
  <c r="AP16" i="9" a="1"/>
  <c r="AP13" i="11" a="1"/>
  <c r="AP19" i="11" a="1"/>
  <c r="G27" i="13" a="1"/>
  <c r="AP8" i="8" a="1"/>
  <c r="AP7" i="10" a="1"/>
  <c r="AP26" i="8" a="1"/>
  <c r="AQ18" i="5" a="1"/>
  <c r="G18" i="8" a="1"/>
  <c r="AP14" i="9" a="1"/>
  <c r="AP16" i="8" a="1"/>
  <c r="AP24" i="7" a="1"/>
  <c r="AQ18" i="13" a="1"/>
  <c r="AQ25" i="9" a="1"/>
  <c r="G29" i="9" a="1"/>
  <c r="AQ6" i="9" a="1"/>
  <c r="AP6" i="12" a="1"/>
  <c r="AP17" i="11" a="1"/>
  <c r="AQ5" i="13" a="1"/>
  <c r="AP9" i="14" a="1"/>
  <c r="G26" i="7" a="1"/>
  <c r="AQ34" i="9" a="1"/>
  <c r="AP21" i="12" a="1"/>
  <c r="AP29" i="8" a="1"/>
  <c r="AQ29" i="6" a="1"/>
  <c r="G17" i="14" a="1"/>
  <c r="AQ33" i="6" a="1"/>
  <c r="AP21" i="9" a="1"/>
  <c r="AP20" i="9" a="1"/>
  <c r="AQ22" i="8" a="1"/>
  <c r="AQ5" i="11" a="1"/>
  <c r="AP25" i="11" a="1"/>
  <c r="AQ29" i="8" a="1"/>
  <c r="AQ28" i="7" a="1"/>
  <c r="AP7" i="6" a="1"/>
  <c r="AP12" i="9" a="1"/>
  <c r="AP33" i="7" a="1"/>
  <c r="AP25" i="13" a="1"/>
  <c r="AQ6" i="10" a="1"/>
  <c r="G29" i="12" a="1"/>
  <c r="G18" i="9" a="1"/>
  <c r="G20" i="11" a="1"/>
  <c r="AQ11" i="9" a="1"/>
  <c r="AP33" i="12" a="1"/>
  <c r="G24" i="7" a="1"/>
  <c r="AP12" i="13" a="1"/>
  <c r="AQ34" i="14" a="1"/>
  <c r="G19" i="12" a="1"/>
  <c r="G21" i="14" a="1"/>
  <c r="AQ9" i="14" a="1"/>
  <c r="AP18" i="9" a="1"/>
  <c r="AP22" i="5" a="1"/>
  <c r="AQ36" i="14" a="1"/>
  <c r="AP17" i="7" a="1"/>
  <c r="AP20" i="11" a="1"/>
  <c r="AP24" i="5" a="1"/>
  <c r="AQ19" i="8" a="1"/>
  <c r="AP20" i="6" a="1"/>
  <c r="AP35" i="10" a="1"/>
  <c r="AP16" i="14" a="1"/>
  <c r="AP12" i="5" a="1"/>
  <c r="G22" i="14" a="1"/>
  <c r="AP6" i="6" a="1"/>
  <c r="AP35" i="11" a="1"/>
  <c r="G15" i="13" a="1"/>
  <c r="AP12" i="14" a="1"/>
  <c r="G27" i="8" a="1"/>
  <c r="G30" i="9" a="1"/>
  <c r="AQ19" i="11" a="1"/>
  <c r="G22" i="11" a="1"/>
  <c r="AP6" i="13" a="1"/>
  <c r="AQ20" i="8" a="1"/>
  <c r="AP31" i="10" a="1"/>
  <c r="G21" i="13" a="1"/>
  <c r="AQ27" i="14" a="1"/>
  <c r="AQ7" i="9" a="1"/>
  <c r="AQ30" i="9" a="1"/>
  <c r="AQ30" i="7" a="1"/>
  <c r="AQ15" i="6" a="1"/>
  <c r="AP16" i="11" a="1"/>
  <c r="G24" i="14" a="1"/>
  <c r="AQ35" i="5" a="1"/>
  <c r="AQ9" i="12" a="1"/>
  <c r="AQ23" i="14" a="1"/>
  <c r="AQ12" i="14" a="1"/>
  <c r="AQ8" i="11" a="1"/>
  <c r="AQ33" i="5" a="1"/>
  <c r="AP19" i="5" a="1"/>
  <c r="AP5" i="8" a="1"/>
  <c r="AQ25" i="14" a="1"/>
  <c r="AP28" i="10" a="1"/>
  <c r="AQ31" i="7" a="1"/>
  <c r="AP8" i="9" a="1"/>
  <c r="AP34" i="12" a="1"/>
  <c r="AP14" i="14" a="1"/>
  <c r="AQ23" i="9" a="1"/>
  <c r="AQ16" i="9" a="1"/>
  <c r="AP32" i="9" a="1"/>
  <c r="AQ26" i="6" a="1"/>
  <c r="AP11" i="7" a="1"/>
  <c r="AQ27" i="11" a="1"/>
  <c r="AQ32" i="5" a="1"/>
  <c r="AQ9" i="11" a="1"/>
  <c r="G25" i="9" a="1"/>
  <c r="AQ36" i="7" a="1"/>
  <c r="AQ8" i="14" a="1"/>
  <c r="AP14" i="7" a="1"/>
  <c r="AP21" i="7" a="1"/>
  <c r="AP34" i="10" a="1"/>
  <c r="AP20" i="7" a="1"/>
  <c r="AQ21" i="8" a="1"/>
  <c r="AQ6" i="8" a="1"/>
  <c r="AQ27" i="9" a="1"/>
  <c r="G18" i="11" a="1"/>
  <c r="AP28" i="13" a="1"/>
  <c r="AQ10" i="6" a="1"/>
  <c r="G17" i="12" a="1"/>
  <c r="AP16" i="6" a="1"/>
  <c r="AP32" i="5" a="1"/>
  <c r="AP30" i="6" a="1"/>
  <c r="AP15" i="12" a="1"/>
  <c r="G25" i="11" a="1"/>
  <c r="AP33" i="14" a="1"/>
  <c r="AQ15" i="12" a="1"/>
  <c r="G22" i="10" a="1"/>
  <c r="AP31" i="11" a="1"/>
  <c r="G27" i="7" a="1"/>
  <c r="G30" i="11" a="1"/>
  <c r="AQ9" i="13" a="1"/>
  <c r="AP33" i="9" a="1"/>
  <c r="AQ15" i="7" a="1"/>
  <c r="G18" i="12" a="1"/>
  <c r="AP25" i="8" a="1"/>
  <c r="AP30" i="7" a="1"/>
  <c r="AP34" i="5" a="1"/>
  <c r="AP21" i="8" a="1"/>
  <c r="AQ24" i="9" a="1"/>
  <c r="G19" i="11" a="1"/>
  <c r="AP26" i="5" a="1"/>
  <c r="AP13" i="9" a="1"/>
  <c r="AQ21" i="12" a="1"/>
  <c r="AP26" i="7" a="1"/>
  <c r="G30" i="13" a="1"/>
  <c r="AQ26" i="8" a="1"/>
  <c r="AP31" i="8" a="1"/>
  <c r="AP30" i="11" a="1"/>
  <c r="G14" i="9" a="1"/>
  <c r="AQ16" i="10" a="1"/>
  <c r="AP25" i="12" a="1"/>
  <c r="AQ15" i="5" a="1"/>
  <c r="AP13" i="13" a="1"/>
  <c r="AQ23" i="11" a="1"/>
  <c r="AQ16" i="13" a="1"/>
  <c r="AQ36" i="6" a="1"/>
  <c r="AP7" i="11" a="1"/>
  <c r="AQ26" i="12" a="1"/>
  <c r="AP7" i="8" a="1"/>
  <c r="AP34" i="8" a="1"/>
  <c r="AQ18" i="14" a="1"/>
  <c r="AQ6" i="12" a="1"/>
  <c r="G23" i="7" a="1"/>
  <c r="AP11" i="9" a="1"/>
  <c r="AP29" i="7" a="1"/>
  <c r="AQ27" i="7" a="1"/>
  <c r="AQ28" i="8" a="1"/>
  <c r="G28" i="14" a="1"/>
  <c r="G24" i="9" a="1"/>
  <c r="AQ29" i="7" a="1"/>
  <c r="AQ21" i="5" a="1"/>
  <c r="G16" i="6" a="1"/>
  <c r="AQ20" i="13" a="1"/>
  <c r="AQ31" i="10" a="1"/>
  <c r="G27" i="14" a="1"/>
  <c r="AQ23" i="6" a="1"/>
  <c r="AQ8" i="10" a="1"/>
  <c r="AQ25" i="8" a="1"/>
  <c r="AQ33" i="7" a="1"/>
  <c r="AQ23" i="12" a="1"/>
  <c r="AQ18" i="8" a="1"/>
  <c r="AQ15" i="8" a="1"/>
  <c r="AP10" i="13" a="1"/>
  <c r="AP34" i="11" a="1"/>
  <c r="AQ24" i="11" a="1"/>
  <c r="AP13" i="10" a="1"/>
  <c r="G26" i="13" a="1"/>
  <c r="AQ25" i="5" a="1"/>
  <c r="AP29" i="6" a="1"/>
  <c r="G19" i="8" a="1"/>
  <c r="AQ6" i="6" a="1"/>
  <c r="AP8" i="12" a="1"/>
  <c r="AP9" i="12" a="1"/>
  <c r="G25" i="12" a="1"/>
  <c r="AP36" i="6" a="1"/>
  <c r="G29" i="10" a="1"/>
  <c r="AP17" i="13" a="1"/>
  <c r="AP35" i="12" a="1"/>
  <c r="AQ6" i="14" a="1"/>
  <c r="AQ11" i="7" a="1"/>
  <c r="AP29" i="10" a="1"/>
  <c r="AP16" i="5" a="1"/>
  <c r="AP10" i="5" a="1"/>
  <c r="G19" i="6" a="1"/>
  <c r="AQ22" i="13" a="1"/>
  <c r="AP20" i="12" a="1"/>
  <c r="AQ31" i="5" a="1"/>
  <c r="AQ7" i="11" a="1"/>
  <c r="AQ10" i="5" a="1"/>
  <c r="AQ29" i="9" a="1"/>
  <c r="AP22" i="8" a="1"/>
  <c r="G18" i="14" a="1"/>
  <c r="AQ9" i="5" a="1"/>
  <c r="AP8" i="6" a="1"/>
  <c r="AP7" i="12" a="1"/>
  <c r="AP30" i="14" a="1"/>
  <c r="G23" i="13" a="1"/>
  <c r="G24" i="13" a="1"/>
  <c r="AP25" i="7" a="1"/>
  <c r="G26" i="8" a="1"/>
  <c r="AP25" i="7" l="1"/>
  <c r="AN25" i="7" s="1"/>
  <c r="G24" i="13"/>
  <c r="G23" i="13"/>
  <c r="AP30" i="14"/>
  <c r="AN30" i="14" s="1"/>
  <c r="AP7" i="12"/>
  <c r="AN7" i="12" s="1"/>
  <c r="AP8" i="6"/>
  <c r="AN8" i="6" s="1"/>
  <c r="AQ9" i="5"/>
  <c r="G18" i="14"/>
  <c r="AP22" i="8"/>
  <c r="AN22" i="8" s="1"/>
  <c r="AQ29" i="9"/>
  <c r="AQ10" i="5"/>
  <c r="AQ7" i="11"/>
  <c r="AQ31" i="5"/>
  <c r="AP20" i="12"/>
  <c r="AN20" i="12" s="1"/>
  <c r="AQ22" i="13"/>
  <c r="G19" i="6"/>
  <c r="AP10" i="5"/>
  <c r="AP16" i="5"/>
  <c r="AP29" i="10"/>
  <c r="AN29" i="10" s="1"/>
  <c r="AQ11" i="7"/>
  <c r="AQ6" i="14"/>
  <c r="AP35" i="12"/>
  <c r="AN35" i="12" s="1"/>
  <c r="AP17" i="13"/>
  <c r="AN17" i="13" s="1"/>
  <c r="G29" i="10"/>
  <c r="AP36" i="6"/>
  <c r="AN36" i="6" s="1"/>
  <c r="G25" i="12"/>
  <c r="AP9" i="12"/>
  <c r="AN9" i="12" s="1"/>
  <c r="AP8" i="12"/>
  <c r="AN8" i="12" s="1"/>
  <c r="AQ6" i="6"/>
  <c r="G19" i="8"/>
  <c r="AP29" i="6"/>
  <c r="AN29" i="6" s="1"/>
  <c r="AQ25" i="5"/>
  <c r="G26" i="13"/>
  <c r="AP13" i="10"/>
  <c r="AN13" i="10" s="1"/>
  <c r="AQ24" i="11"/>
  <c r="AP34" i="11"/>
  <c r="AN34" i="11" s="1"/>
  <c r="AP10" i="13"/>
  <c r="AN10" i="13" s="1"/>
  <c r="AQ15" i="8"/>
  <c r="AQ18" i="8"/>
  <c r="AQ23" i="12"/>
  <c r="AQ33" i="7"/>
  <c r="AQ25" i="8"/>
  <c r="AQ8" i="10"/>
  <c r="AQ23" i="6"/>
  <c r="G27" i="14"/>
  <c r="AQ31" i="10"/>
  <c r="AQ20" i="13"/>
  <c r="G16" i="6"/>
  <c r="AQ21" i="5"/>
  <c r="AQ29" i="7"/>
  <c r="G24" i="9"/>
  <c r="G28" i="14"/>
  <c r="AQ28" i="8"/>
  <c r="AQ27" i="7"/>
  <c r="AP29" i="7"/>
  <c r="AN29" i="7" s="1"/>
  <c r="AP11" i="9"/>
  <c r="AN11" i="9" s="1"/>
  <c r="G23" i="7"/>
  <c r="AQ6" i="12"/>
  <c r="AQ18" i="14"/>
  <c r="AP34" i="8"/>
  <c r="AN34" i="8" s="1"/>
  <c r="AP7" i="8"/>
  <c r="AN7" i="8" s="1"/>
  <c r="AQ26" i="12"/>
  <c r="AP7" i="11"/>
  <c r="AN7" i="11" s="1"/>
  <c r="AQ36" i="6"/>
  <c r="AQ16" i="13"/>
  <c r="AQ23" i="11"/>
  <c r="AP13" i="13"/>
  <c r="AN13" i="13" s="1"/>
  <c r="AQ15" i="5"/>
  <c r="AP25" i="12"/>
  <c r="AN25" i="12" s="1"/>
  <c r="AQ16" i="10"/>
  <c r="G14" i="9"/>
  <c r="AP30" i="11"/>
  <c r="AN30" i="11" s="1"/>
  <c r="AP31" i="8"/>
  <c r="AN31" i="8" s="1"/>
  <c r="AQ26" i="8"/>
  <c r="G30" i="13"/>
  <c r="AP26" i="7"/>
  <c r="AN26" i="7" s="1"/>
  <c r="AQ21" i="12"/>
  <c r="AP13" i="9"/>
  <c r="AN13" i="9" s="1"/>
  <c r="AP26" i="5"/>
  <c r="G19" i="11"/>
  <c r="AQ24" i="9"/>
  <c r="AP21" i="8"/>
  <c r="AN21" i="8" s="1"/>
  <c r="AP34" i="5"/>
  <c r="AP30" i="7"/>
  <c r="AN30" i="7" s="1"/>
  <c r="AP25" i="8"/>
  <c r="AN25" i="8" s="1"/>
  <c r="G18" i="12"/>
  <c r="AQ15" i="7"/>
  <c r="AP33" i="9"/>
  <c r="AN33" i="9" s="1"/>
  <c r="AQ9" i="13"/>
  <c r="G30" i="11"/>
  <c r="G27" i="7"/>
  <c r="AP31" i="11"/>
  <c r="AN31" i="11" s="1"/>
  <c r="G22" i="10"/>
  <c r="AQ15" i="12"/>
  <c r="AP33" i="14"/>
  <c r="AN33" i="14" s="1"/>
  <c r="G25" i="11"/>
  <c r="AP15" i="12"/>
  <c r="AN15" i="12" s="1"/>
  <c r="AP30" i="6"/>
  <c r="AN30" i="6" s="1"/>
  <c r="AP32" i="5"/>
  <c r="AP16" i="6"/>
  <c r="AN16" i="6" s="1"/>
  <c r="G17" i="12"/>
  <c r="AQ10" i="6"/>
  <c r="AP28" i="13"/>
  <c r="AN28" i="13" s="1"/>
  <c r="G18" i="11"/>
  <c r="AQ27" i="9"/>
  <c r="AQ6" i="8"/>
  <c r="AQ21" i="8"/>
  <c r="AP20" i="7"/>
  <c r="AN20" i="7" s="1"/>
  <c r="AP34" i="10"/>
  <c r="AN34" i="10" s="1"/>
  <c r="AP21" i="7"/>
  <c r="AN21" i="7" s="1"/>
  <c r="AP14" i="7"/>
  <c r="AN14" i="7" s="1"/>
  <c r="AQ8" i="14"/>
  <c r="AQ36" i="7"/>
  <c r="G25" i="9"/>
  <c r="AQ9" i="11"/>
  <c r="AQ32" i="5"/>
  <c r="AQ27" i="11"/>
  <c r="AP11" i="7"/>
  <c r="AN11" i="7" s="1"/>
  <c r="AQ26" i="6"/>
  <c r="AP32" i="9"/>
  <c r="AN32" i="9" s="1"/>
  <c r="AQ16" i="9"/>
  <c r="AQ23" i="9"/>
  <c r="AP14" i="14"/>
  <c r="AN14" i="14" s="1"/>
  <c r="AP34" i="12"/>
  <c r="AN34" i="12" s="1"/>
  <c r="AP8" i="9"/>
  <c r="AN8" i="9" s="1"/>
  <c r="AQ31" i="7"/>
  <c r="AP28" i="10"/>
  <c r="AN28" i="10" s="1"/>
  <c r="AQ25" i="14"/>
  <c r="AP5" i="8"/>
  <c r="AN5" i="8" s="1"/>
  <c r="AP19" i="5"/>
  <c r="AQ33" i="5"/>
  <c r="AQ8" i="11"/>
  <c r="AQ12" i="14"/>
  <c r="AQ23" i="14"/>
  <c r="AQ9" i="12"/>
  <c r="AQ35" i="5"/>
  <c r="G24" i="14"/>
  <c r="AP16" i="11"/>
  <c r="AN16" i="11" s="1"/>
  <c r="AQ15" i="6"/>
  <c r="AQ30" i="7"/>
  <c r="AQ30" i="9"/>
  <c r="AQ7" i="9"/>
  <c r="AQ27" i="14"/>
  <c r="G21" i="13"/>
  <c r="AP31" i="10"/>
  <c r="AN31" i="10" s="1"/>
  <c r="AQ20" i="8"/>
  <c r="AP6" i="13"/>
  <c r="AN6" i="13" s="1"/>
  <c r="G22" i="11"/>
  <c r="AQ19" i="11"/>
  <c r="G30" i="9"/>
  <c r="G27" i="8"/>
  <c r="AP12" i="14"/>
  <c r="AN12" i="14" s="1"/>
  <c r="G15" i="13"/>
  <c r="AP35" i="11"/>
  <c r="AN35" i="11" s="1"/>
  <c r="AP6" i="6"/>
  <c r="AN6" i="6" s="1"/>
  <c r="G22" i="14"/>
  <c r="AP12" i="5"/>
  <c r="AP16" i="14"/>
  <c r="AN16" i="14" s="1"/>
  <c r="AP35" i="10"/>
  <c r="AN35" i="10" s="1"/>
  <c r="AP20" i="6"/>
  <c r="AN20" i="6" s="1"/>
  <c r="AQ19" i="8"/>
  <c r="AP24" i="5"/>
  <c r="AP20" i="11"/>
  <c r="AN20" i="11" s="1"/>
  <c r="AP17" i="7"/>
  <c r="AN17" i="7" s="1"/>
  <c r="AQ36" i="14"/>
  <c r="AP22" i="5"/>
  <c r="AP18" i="9"/>
  <c r="AN18" i="9" s="1"/>
  <c r="AQ9" i="14"/>
  <c r="G21" i="14"/>
  <c r="G19" i="12"/>
  <c r="AQ34" i="14"/>
  <c r="AP12" i="13"/>
  <c r="AN12" i="13" s="1"/>
  <c r="G24" i="7"/>
  <c r="AP33" i="12"/>
  <c r="AN33" i="12" s="1"/>
  <c r="AQ11" i="9"/>
  <c r="G20" i="11"/>
  <c r="G18" i="9"/>
  <c r="G29" i="12"/>
  <c r="AQ6" i="10"/>
  <c r="AP25" i="13"/>
  <c r="AN25" i="13" s="1"/>
  <c r="AP33" i="7"/>
  <c r="AN33" i="7" s="1"/>
  <c r="AP12" i="9"/>
  <c r="AN12" i="9" s="1"/>
  <c r="AP7" i="6"/>
  <c r="AN7" i="6" s="1"/>
  <c r="AQ28" i="7"/>
  <c r="AQ29" i="8"/>
  <c r="AP25" i="11"/>
  <c r="AN25" i="11" s="1"/>
  <c r="AQ5" i="11"/>
  <c r="G8" i="11" s="1"/>
  <c r="G5" i="11" s="1"/>
  <c r="AQ22" i="8"/>
  <c r="AP20" i="9"/>
  <c r="AN20" i="9" s="1"/>
  <c r="AP21" i="9"/>
  <c r="AN21" i="9" s="1"/>
  <c r="AQ33" i="6"/>
  <c r="G17" i="14"/>
  <c r="AQ29" i="6"/>
  <c r="AP29" i="8"/>
  <c r="AN29" i="8" s="1"/>
  <c r="AP21" i="12"/>
  <c r="AN21" i="12" s="1"/>
  <c r="AQ34" i="9"/>
  <c r="G26" i="7"/>
  <c r="AP9" i="14"/>
  <c r="AN9" i="14" s="1"/>
  <c r="AQ5" i="13"/>
  <c r="AP17" i="11"/>
  <c r="AN17" i="11" s="1"/>
  <c r="AP6" i="12"/>
  <c r="AN6" i="12" s="1"/>
  <c r="AQ6" i="9"/>
  <c r="G29" i="9"/>
  <c r="AQ25" i="9"/>
  <c r="AQ18" i="13"/>
  <c r="AP24" i="7"/>
  <c r="AN24" i="7" s="1"/>
  <c r="AP16" i="8"/>
  <c r="AN16" i="8" s="1"/>
  <c r="AP14" i="9"/>
  <c r="AN14" i="9" s="1"/>
  <c r="G18" i="8"/>
  <c r="AQ18" i="5"/>
  <c r="AP26" i="8"/>
  <c r="AN26" i="8" s="1"/>
  <c r="AP7" i="10"/>
  <c r="AN7" i="10" s="1"/>
  <c r="AP8" i="8"/>
  <c r="AN8" i="8" s="1"/>
  <c r="G27" i="13"/>
  <c r="AP19" i="11"/>
  <c r="AN19" i="11" s="1"/>
  <c r="AP13" i="11"/>
  <c r="AN13" i="11" s="1"/>
  <c r="AP16" i="9"/>
  <c r="AN16" i="9" s="1"/>
  <c r="AP15" i="8"/>
  <c r="AN15" i="8" s="1"/>
  <c r="AP15" i="7"/>
  <c r="AN15" i="7" s="1"/>
  <c r="AQ30" i="11"/>
  <c r="AQ25" i="12"/>
  <c r="AP24" i="14"/>
  <c r="AN24" i="14" s="1"/>
  <c r="AQ27" i="8"/>
  <c r="AP34" i="13"/>
  <c r="AN34" i="13" s="1"/>
  <c r="AP13" i="14"/>
  <c r="AN13" i="14" s="1"/>
  <c r="AP15" i="11"/>
  <c r="AN15" i="11" s="1"/>
  <c r="AQ21" i="11"/>
  <c r="AP22" i="12"/>
  <c r="AN22" i="12" s="1"/>
  <c r="AQ33" i="13"/>
  <c r="AP12" i="10"/>
  <c r="AN12" i="10" s="1"/>
  <c r="AQ20" i="10"/>
  <c r="G20" i="6"/>
  <c r="G21" i="10"/>
  <c r="AP21" i="14"/>
  <c r="AN21" i="14" s="1"/>
  <c r="AP31" i="5"/>
  <c r="AP12" i="6"/>
  <c r="AN12" i="6" s="1"/>
  <c r="AP27" i="7"/>
  <c r="AN27" i="7" s="1"/>
  <c r="AQ11" i="11"/>
  <c r="G14" i="10"/>
  <c r="AP14" i="13"/>
  <c r="AN14" i="13" s="1"/>
  <c r="AP26" i="14"/>
  <c r="AN26" i="14" s="1"/>
  <c r="AP16" i="12"/>
  <c r="AN16" i="12" s="1"/>
  <c r="AP11" i="11"/>
  <c r="AN11" i="11" s="1"/>
  <c r="G29" i="7"/>
  <c r="G22" i="9"/>
  <c r="AP5" i="11"/>
  <c r="AN5" i="11" s="1"/>
  <c r="AP25" i="6"/>
  <c r="AN25" i="6" s="1"/>
  <c r="AQ18" i="11"/>
  <c r="AP17" i="10"/>
  <c r="AN17" i="10" s="1"/>
  <c r="AQ17" i="9"/>
  <c r="AP30" i="12"/>
  <c r="AN30" i="12" s="1"/>
  <c r="AP10" i="9"/>
  <c r="AN10" i="9" s="1"/>
  <c r="AP17" i="9"/>
  <c r="AN17" i="9" s="1"/>
  <c r="AP25" i="5"/>
  <c r="AP9" i="7"/>
  <c r="AN9" i="7" s="1"/>
  <c r="AQ14" i="5"/>
  <c r="AP19" i="9"/>
  <c r="AN19" i="9" s="1"/>
  <c r="AP11" i="13"/>
  <c r="AN11" i="13" s="1"/>
  <c r="AQ17" i="12"/>
  <c r="AQ11" i="14"/>
  <c r="AP23" i="12"/>
  <c r="AN23" i="12" s="1"/>
  <c r="G30" i="7"/>
  <c r="G21" i="7"/>
  <c r="AQ29" i="13"/>
  <c r="AQ19" i="14"/>
  <c r="AQ23" i="8"/>
  <c r="AQ12" i="10"/>
  <c r="AP10" i="10"/>
  <c r="AN10" i="10" s="1"/>
  <c r="AQ34" i="10"/>
  <c r="AP29" i="12"/>
  <c r="AN29" i="12" s="1"/>
  <c r="AP36" i="11"/>
  <c r="AN36" i="11" s="1"/>
  <c r="G23" i="8"/>
  <c r="AP21" i="11"/>
  <c r="AN21" i="11" s="1"/>
  <c r="AQ29" i="10"/>
  <c r="AQ5" i="5"/>
  <c r="G8" i="5" s="1"/>
  <c r="G25" i="10"/>
  <c r="AQ12" i="11"/>
  <c r="AQ14" i="8"/>
  <c r="AP28" i="12"/>
  <c r="AN28" i="12" s="1"/>
  <c r="AP9" i="13"/>
  <c r="AN9" i="13" s="1"/>
  <c r="AQ26" i="14"/>
  <c r="AP23" i="5"/>
  <c r="AP9" i="11"/>
  <c r="AN9" i="11" s="1"/>
  <c r="AP14" i="6"/>
  <c r="AN14" i="6" s="1"/>
  <c r="AQ24" i="6"/>
  <c r="G24" i="10"/>
  <c r="G17" i="8"/>
  <c r="AQ13" i="5"/>
  <c r="AQ16" i="5"/>
  <c r="AP36" i="7"/>
  <c r="AN36" i="7" s="1"/>
  <c r="G21" i="8"/>
  <c r="AQ31" i="11"/>
  <c r="AQ19" i="9"/>
  <c r="AQ18" i="9"/>
  <c r="AQ19" i="5"/>
  <c r="AQ11" i="8"/>
  <c r="AQ13" i="8"/>
  <c r="AQ17" i="14"/>
  <c r="AP34" i="9"/>
  <c r="AN34" i="9" s="1"/>
  <c r="AP10" i="8"/>
  <c r="AN10" i="8" s="1"/>
  <c r="AQ18" i="10"/>
  <c r="AP18" i="10"/>
  <c r="AN18" i="10" s="1"/>
  <c r="AQ22" i="5"/>
  <c r="AP35" i="5"/>
  <c r="G27" i="12"/>
  <c r="AP24" i="13"/>
  <c r="AN24" i="13" s="1"/>
  <c r="G19" i="14"/>
  <c r="AQ22" i="11"/>
  <c r="AQ33" i="8"/>
  <c r="AP9" i="5"/>
  <c r="AP11" i="14"/>
  <c r="AN11" i="14" s="1"/>
  <c r="AP10" i="12"/>
  <c r="AN10" i="12" s="1"/>
  <c r="AQ5" i="14"/>
  <c r="G8" i="14" s="1"/>
  <c r="G5" i="14" s="1"/>
  <c r="AP35" i="9"/>
  <c r="AN35" i="9" s="1"/>
  <c r="AP32" i="14"/>
  <c r="AN32" i="14" s="1"/>
  <c r="AP28" i="14"/>
  <c r="AN28" i="14" s="1"/>
  <c r="AQ20" i="5"/>
  <c r="AP16" i="7"/>
  <c r="AN16" i="7" s="1"/>
  <c r="AQ21" i="6"/>
  <c r="AQ25" i="11"/>
  <c r="G23" i="10"/>
  <c r="G29" i="8"/>
  <c r="G22" i="8"/>
  <c r="AP23" i="14"/>
  <c r="AN23" i="14" s="1"/>
  <c r="AP23" i="11"/>
  <c r="AN23" i="11" s="1"/>
  <c r="AP13" i="5"/>
  <c r="AP26" i="6"/>
  <c r="AN26" i="6" s="1"/>
  <c r="AP22" i="6"/>
  <c r="AN22" i="6" s="1"/>
  <c r="AQ10" i="9"/>
  <c r="AP30" i="9"/>
  <c r="AN30" i="9" s="1"/>
  <c r="AQ5" i="6"/>
  <c r="G8" i="6" s="1"/>
  <c r="G5" i="6" s="1"/>
  <c r="AB27" i="6" s="1"/>
  <c r="AQ34" i="12"/>
  <c r="AQ24" i="5"/>
  <c r="AQ26" i="7"/>
  <c r="G20" i="13"/>
  <c r="AQ8" i="12"/>
  <c r="AP35" i="6"/>
  <c r="AN35" i="6" s="1"/>
  <c r="AP28" i="9"/>
  <c r="AN28" i="9" s="1"/>
  <c r="AQ35" i="11"/>
  <c r="AP9" i="6"/>
  <c r="AN9" i="6" s="1"/>
  <c r="G22" i="12"/>
  <c r="AP19" i="10"/>
  <c r="AN19" i="10" s="1"/>
  <c r="G23" i="14"/>
  <c r="AP33" i="8"/>
  <c r="AN33" i="8" s="1"/>
  <c r="AQ23" i="10"/>
  <c r="G20" i="12"/>
  <c r="AP22" i="13"/>
  <c r="AN22" i="13" s="1"/>
  <c r="AQ35" i="10"/>
  <c r="AP9" i="9"/>
  <c r="AN9" i="9" s="1"/>
  <c r="AQ30" i="12"/>
  <c r="AQ5" i="12"/>
  <c r="AQ32" i="10"/>
  <c r="AQ33" i="9"/>
  <c r="G16" i="8"/>
  <c r="AQ28" i="12"/>
  <c r="AQ24" i="8"/>
  <c r="AQ31" i="14"/>
  <c r="AQ9" i="9"/>
  <c r="AP32" i="11"/>
  <c r="AN32" i="11" s="1"/>
  <c r="AQ35" i="12"/>
  <c r="AQ7" i="8"/>
  <c r="AQ17" i="5"/>
  <c r="AP14" i="5"/>
  <c r="G22" i="13"/>
  <c r="AP20" i="13"/>
  <c r="AN20" i="13" s="1"/>
  <c r="AQ21" i="14"/>
  <c r="AP12" i="7"/>
  <c r="AN12" i="7" s="1"/>
  <c r="AP31" i="12"/>
  <c r="AN31" i="12" s="1"/>
  <c r="AQ32" i="14"/>
  <c r="AQ32" i="7"/>
  <c r="G16" i="11"/>
  <c r="AQ33" i="11"/>
  <c r="AP13" i="7"/>
  <c r="AN13" i="7" s="1"/>
  <c r="AQ27" i="6"/>
  <c r="G26" i="12"/>
  <c r="AP32" i="12"/>
  <c r="AN32" i="12" s="1"/>
  <c r="AQ10" i="11"/>
  <c r="AP14" i="8"/>
  <c r="AN14" i="8" s="1"/>
  <c r="AP11" i="5"/>
  <c r="AQ18" i="7"/>
  <c r="AP34" i="7"/>
  <c r="AN34" i="7" s="1"/>
  <c r="AP11" i="10"/>
  <c r="AN11" i="10" s="1"/>
  <c r="AQ16" i="6"/>
  <c r="AP19" i="6"/>
  <c r="AN19" i="6" s="1"/>
  <c r="AQ27" i="12"/>
  <c r="AQ28" i="9"/>
  <c r="AQ12" i="12"/>
  <c r="AP23" i="13"/>
  <c r="AN23" i="13" s="1"/>
  <c r="AP27" i="5"/>
  <c r="AQ17" i="7"/>
  <c r="AP6" i="7"/>
  <c r="AN6" i="7" s="1"/>
  <c r="AQ6" i="11"/>
  <c r="AP21" i="5"/>
  <c r="AP19" i="14"/>
  <c r="AN19" i="14" s="1"/>
  <c r="G30" i="8"/>
  <c r="AQ28" i="14"/>
  <c r="G17" i="7"/>
  <c r="AQ28" i="10"/>
  <c r="G21" i="9"/>
  <c r="AQ12" i="9"/>
  <c r="AP34" i="6"/>
  <c r="AN34" i="6" s="1"/>
  <c r="G14" i="14"/>
  <c r="G23" i="11"/>
  <c r="AQ22" i="14"/>
  <c r="AP14" i="12"/>
  <c r="AN14" i="12" s="1"/>
  <c r="AP17" i="6"/>
  <c r="AN17" i="6" s="1"/>
  <c r="AQ35" i="9"/>
  <c r="G17" i="6"/>
  <c r="AP7" i="9"/>
  <c r="AN7" i="9" s="1"/>
  <c r="AP10" i="7"/>
  <c r="AN10" i="7" s="1"/>
  <c r="AQ31" i="8"/>
  <c r="AQ30" i="13"/>
  <c r="AQ24" i="10"/>
  <c r="AQ21" i="9"/>
  <c r="AP21" i="6"/>
  <c r="AN21" i="6" s="1"/>
  <c r="AQ12" i="8"/>
  <c r="AP27" i="8"/>
  <c r="AN27" i="8" s="1"/>
  <c r="AQ28" i="13"/>
  <c r="AP20" i="8"/>
  <c r="AN20" i="8" s="1"/>
  <c r="AP25" i="14"/>
  <c r="AN25" i="14" s="1"/>
  <c r="G16" i="10"/>
  <c r="AP35" i="8"/>
  <c r="AN35" i="8" s="1"/>
  <c r="AP18" i="11"/>
  <c r="AN18" i="11" s="1"/>
  <c r="AP17" i="12"/>
  <c r="AN17" i="12" s="1"/>
  <c r="AQ12" i="5"/>
  <c r="AQ34" i="6"/>
  <c r="G25" i="8"/>
  <c r="AP23" i="8"/>
  <c r="AN23" i="8" s="1"/>
  <c r="AP24" i="11"/>
  <c r="AN24" i="11" s="1"/>
  <c r="AP30" i="8"/>
  <c r="AN30" i="8" s="1"/>
  <c r="AP8" i="11"/>
  <c r="AN8" i="11" s="1"/>
  <c r="G19" i="13"/>
  <c r="AP12" i="11"/>
  <c r="AN12" i="11" s="1"/>
  <c r="AQ13" i="7"/>
  <c r="AP15" i="10"/>
  <c r="AN15" i="10" s="1"/>
  <c r="AP7" i="13"/>
  <c r="AN7" i="13" s="1"/>
  <c r="AP6" i="14"/>
  <c r="AN6" i="14" s="1"/>
  <c r="AQ33" i="14"/>
  <c r="AP6" i="8"/>
  <c r="AN6" i="8" s="1"/>
  <c r="AQ36" i="8"/>
  <c r="AP5" i="12"/>
  <c r="AN5" i="12" s="1"/>
  <c r="AQ14" i="6"/>
  <c r="AP11" i="6"/>
  <c r="AN11" i="6" s="1"/>
  <c r="G30" i="14"/>
  <c r="AQ18" i="12"/>
  <c r="AP15" i="6"/>
  <c r="AN15" i="6" s="1"/>
  <c r="AQ30" i="14"/>
  <c r="AQ14" i="12"/>
  <c r="G24" i="11"/>
  <c r="G29" i="13"/>
  <c r="AP13" i="6"/>
  <c r="AN13" i="6" s="1"/>
  <c r="AQ14" i="13"/>
  <c r="G28" i="6"/>
  <c r="AP12" i="8"/>
  <c r="AN12" i="8" s="1"/>
  <c r="AP32" i="10"/>
  <c r="AN32" i="10" s="1"/>
  <c r="AP5" i="10"/>
  <c r="AN5" i="10" s="1"/>
  <c r="AQ17" i="11"/>
  <c r="AQ20" i="11"/>
  <c r="AP28" i="7"/>
  <c r="AN28" i="7" s="1"/>
  <c r="AP11" i="8"/>
  <c r="AN11" i="8" s="1"/>
  <c r="AQ7" i="10"/>
  <c r="AP5" i="7"/>
  <c r="AN5" i="7" s="1"/>
  <c r="AP9" i="10"/>
  <c r="AN9" i="10" s="1"/>
  <c r="G20" i="9"/>
  <c r="AP6" i="9"/>
  <c r="AN6" i="9" s="1"/>
  <c r="AQ32" i="9"/>
  <c r="AP5" i="13"/>
  <c r="AN5" i="13" s="1"/>
  <c r="G17" i="10"/>
  <c r="AP21" i="13"/>
  <c r="AN21" i="13" s="1"/>
  <c r="AP18" i="7"/>
  <c r="AN18" i="7" s="1"/>
  <c r="AQ36" i="11"/>
  <c r="AQ11" i="6"/>
  <c r="AQ20" i="6"/>
  <c r="AQ29" i="12"/>
  <c r="AQ21" i="10"/>
  <c r="AP27" i="10"/>
  <c r="AN27" i="10" s="1"/>
  <c r="AP12" i="12"/>
  <c r="AN12" i="12" s="1"/>
  <c r="J8" i="12" s="1"/>
  <c r="J5" i="12" s="1"/>
  <c r="AQ10" i="8"/>
  <c r="AP29" i="9"/>
  <c r="AN29" i="9" s="1"/>
  <c r="AQ36" i="5"/>
  <c r="AQ26" i="11"/>
  <c r="AP28" i="8"/>
  <c r="AN28" i="8" s="1"/>
  <c r="AP36" i="9"/>
  <c r="AN36" i="9" s="1"/>
  <c r="AQ16" i="7"/>
  <c r="AQ31" i="13"/>
  <c r="AQ23" i="13"/>
  <c r="AQ22" i="6"/>
  <c r="AQ28" i="11"/>
  <c r="AQ34" i="13"/>
  <c r="AP8" i="5"/>
  <c r="AP15" i="13"/>
  <c r="AN15" i="13" s="1"/>
  <c r="AP23" i="9"/>
  <c r="AN23" i="9" s="1"/>
  <c r="AQ16" i="14"/>
  <c r="AQ7" i="6"/>
  <c r="G18" i="6"/>
  <c r="AP7" i="7"/>
  <c r="AN7" i="7" s="1"/>
  <c r="AQ20" i="7"/>
  <c r="AQ12" i="6"/>
  <c r="AP13" i="8"/>
  <c r="AN13" i="8" s="1"/>
  <c r="AQ20" i="12"/>
  <c r="AQ25" i="13"/>
  <c r="AQ11" i="10"/>
  <c r="G15" i="12"/>
  <c r="AQ13" i="11"/>
  <c r="AQ25" i="6"/>
  <c r="AP31" i="7"/>
  <c r="AN31" i="7" s="1"/>
  <c r="AP26" i="9"/>
  <c r="AN26" i="9" s="1"/>
  <c r="G21" i="12"/>
  <c r="AQ32" i="8"/>
  <c r="AP24" i="10"/>
  <c r="AN24" i="10" s="1"/>
  <c r="AP5" i="9"/>
  <c r="AN5" i="9" s="1"/>
  <c r="AP5" i="14"/>
  <c r="AN5" i="14" s="1"/>
  <c r="AP23" i="6"/>
  <c r="AN23" i="6" s="1"/>
  <c r="AP35" i="13"/>
  <c r="AN35" i="13" s="1"/>
  <c r="AP18" i="12"/>
  <c r="AN18" i="12" s="1"/>
  <c r="AQ7" i="13"/>
  <c r="AP36" i="14"/>
  <c r="AN36" i="14" s="1"/>
  <c r="AP29" i="13"/>
  <c r="AN29" i="13" s="1"/>
  <c r="AQ16" i="12"/>
  <c r="G24" i="6"/>
  <c r="AQ14" i="14"/>
  <c r="AQ5" i="9"/>
  <c r="G8" i="9" s="1"/>
  <c r="G5" i="9" s="1"/>
  <c r="AP22" i="10"/>
  <c r="AN22" i="10" s="1"/>
  <c r="AP14" i="10"/>
  <c r="AN14" i="10" s="1"/>
  <c r="AQ9" i="7"/>
  <c r="AQ19" i="6"/>
  <c r="AQ7" i="7"/>
  <c r="AP35" i="7"/>
  <c r="AN35" i="7" s="1"/>
  <c r="G20" i="10"/>
  <c r="AQ15" i="11"/>
  <c r="AP15" i="14"/>
  <c r="AN15" i="14" s="1"/>
  <c r="G27" i="11"/>
  <c r="AQ22" i="9"/>
  <c r="G15" i="14"/>
  <c r="AP33" i="11"/>
  <c r="AN33" i="11" s="1"/>
  <c r="AQ5" i="10"/>
  <c r="G8" i="10" s="1"/>
  <c r="G5" i="10" s="1"/>
  <c r="AE20" i="10" s="1"/>
  <c r="AQ36" i="10"/>
  <c r="G25" i="6"/>
  <c r="AQ29" i="11"/>
  <c r="AQ10" i="7"/>
  <c r="G15" i="11"/>
  <c r="AP18" i="14"/>
  <c r="AN18" i="14" s="1"/>
  <c r="AP27" i="12"/>
  <c r="AN27" i="12" s="1"/>
  <c r="AQ27" i="10"/>
  <c r="AQ31" i="12"/>
  <c r="AP36" i="8"/>
  <c r="AN36" i="8" s="1"/>
  <c r="AP31" i="9"/>
  <c r="AN31" i="9" s="1"/>
  <c r="AQ18" i="6"/>
  <c r="G24" i="8"/>
  <c r="AQ32" i="13"/>
  <c r="G21" i="6"/>
  <c r="AQ26" i="9"/>
  <c r="AP35" i="14"/>
  <c r="AN35" i="14" s="1"/>
  <c r="AP10" i="11"/>
  <c r="AN10" i="11" s="1"/>
  <c r="AQ36" i="12"/>
  <c r="AP8" i="7"/>
  <c r="AN8" i="7" s="1"/>
  <c r="AQ5" i="7"/>
  <c r="G8" i="7" s="1"/>
  <c r="G5" i="7" s="1"/>
  <c r="AQ19" i="7"/>
  <c r="AQ31" i="9"/>
  <c r="AQ9" i="8"/>
  <c r="G22" i="6"/>
  <c r="AP22" i="14"/>
  <c r="AN22" i="14" s="1"/>
  <c r="AP5" i="5"/>
  <c r="AQ15" i="14"/>
  <c r="AP17" i="5"/>
  <c r="AQ22" i="12"/>
  <c r="G15" i="10"/>
  <c r="AP10" i="6"/>
  <c r="AN10" i="6" s="1"/>
  <c r="AP22" i="9"/>
  <c r="AN22" i="9" s="1"/>
  <c r="AQ10" i="12"/>
  <c r="AP27" i="9"/>
  <c r="AN27" i="9" s="1"/>
  <c r="AQ26" i="10"/>
  <c r="G14" i="8"/>
  <c r="AP31" i="6"/>
  <c r="AN31" i="6" s="1"/>
  <c r="AQ11" i="5"/>
  <c r="AQ26" i="13"/>
  <c r="AP32" i="6"/>
  <c r="AN32" i="6" s="1"/>
  <c r="AP8" i="10"/>
  <c r="AN8" i="10" s="1"/>
  <c r="AP34" i="14"/>
  <c r="AN34" i="14" s="1"/>
  <c r="AQ16" i="8"/>
  <c r="AP6" i="5"/>
  <c r="G19" i="7"/>
  <c r="AQ23" i="7"/>
  <c r="AP28" i="5"/>
  <c r="G17" i="9"/>
  <c r="AQ21" i="13"/>
  <c r="AQ15" i="10"/>
  <c r="AQ24" i="13"/>
  <c r="AQ14" i="11"/>
  <c r="AQ11" i="13"/>
  <c r="AP29" i="5"/>
  <c r="G17" i="13"/>
  <c r="AP26" i="11"/>
  <c r="AN26" i="11" s="1"/>
  <c r="G14" i="12"/>
  <c r="AQ6" i="13"/>
  <c r="G8" i="13" s="1"/>
  <c r="G5" i="13" s="1"/>
  <c r="AB27" i="13" s="1"/>
  <c r="AP14" i="11"/>
  <c r="AN14" i="11" s="1"/>
  <c r="G21" i="11"/>
  <c r="AQ29" i="5"/>
  <c r="G17" i="11"/>
  <c r="G28" i="9"/>
  <c r="AQ27" i="5"/>
  <c r="AQ34" i="5"/>
  <c r="G18" i="10"/>
  <c r="AP30" i="5"/>
  <c r="AP32" i="8"/>
  <c r="AN32" i="8" s="1"/>
  <c r="G14" i="13"/>
  <c r="AQ14" i="7"/>
  <c r="AQ27" i="13"/>
  <c r="AQ7" i="14"/>
  <c r="AP24" i="6"/>
  <c r="AN24" i="6" s="1"/>
  <c r="AQ8" i="5"/>
  <c r="AQ17" i="8"/>
  <c r="AQ34" i="8"/>
  <c r="AP25" i="9"/>
  <c r="AN25" i="9" s="1"/>
  <c r="AP27" i="6"/>
  <c r="AN27" i="6" s="1"/>
  <c r="AQ36" i="13"/>
  <c r="AQ28" i="6"/>
  <c r="AP20" i="14"/>
  <c r="AN20" i="14" s="1"/>
  <c r="J8" i="14" s="1"/>
  <c r="J5" i="14" s="1"/>
  <c r="AQ33" i="10"/>
  <c r="AP29" i="14"/>
  <c r="AN29" i="14" s="1"/>
  <c r="AQ17" i="10"/>
  <c r="AQ7" i="12"/>
  <c r="AP21" i="10"/>
  <c r="AN21" i="10" s="1"/>
  <c r="AP6" i="10"/>
  <c r="AN6" i="10" s="1"/>
  <c r="AP6" i="11"/>
  <c r="AN6" i="11" s="1"/>
  <c r="G23" i="9"/>
  <c r="AP15" i="5"/>
  <c r="AQ32" i="6"/>
  <c r="AP36" i="5"/>
  <c r="AQ28" i="5"/>
  <c r="AP25" i="10"/>
  <c r="AN25" i="10" s="1"/>
  <c r="AQ16" i="11"/>
  <c r="AQ20" i="14"/>
  <c r="AQ29" i="14"/>
  <c r="AP18" i="5"/>
  <c r="AP23" i="7"/>
  <c r="AN23" i="7" s="1"/>
  <c r="AP33" i="6"/>
  <c r="AN33" i="6" s="1"/>
  <c r="AQ13" i="6"/>
  <c r="AP16" i="10"/>
  <c r="AN16" i="10" s="1"/>
  <c r="AP30" i="10"/>
  <c r="AN30" i="10" s="1"/>
  <c r="AQ12" i="7"/>
  <c r="AP22" i="7"/>
  <c r="AN22" i="7" s="1"/>
  <c r="G14" i="6"/>
  <c r="AQ35" i="13"/>
  <c r="G29" i="6"/>
  <c r="G15" i="9"/>
  <c r="AP18" i="13"/>
  <c r="AN18" i="13" s="1"/>
  <c r="AP27" i="14"/>
  <c r="AN27" i="14" s="1"/>
  <c r="G23" i="6"/>
  <c r="AQ24" i="7"/>
  <c r="G16" i="7"/>
  <c r="AP7" i="5"/>
  <c r="AQ9" i="10"/>
  <c r="AP17" i="14"/>
  <c r="AN17" i="14" s="1"/>
  <c r="AQ8" i="8"/>
  <c r="AP33" i="5"/>
  <c r="G28" i="11"/>
  <c r="AP23" i="10"/>
  <c r="AN23" i="10" s="1"/>
  <c r="G15" i="7"/>
  <c r="AQ8" i="9"/>
  <c r="AP17" i="8"/>
  <c r="AN17" i="8" s="1"/>
  <c r="AQ13" i="14"/>
  <c r="AQ12" i="13"/>
  <c r="AQ25" i="7"/>
  <c r="AQ26" i="5"/>
  <c r="AQ30" i="6"/>
  <c r="AQ35" i="14"/>
  <c r="AQ23" i="5"/>
  <c r="AP33" i="13"/>
  <c r="AN33" i="13" s="1"/>
  <c r="AQ13" i="13"/>
  <c r="G16" i="13"/>
  <c r="G25" i="14"/>
  <c r="AQ35" i="8"/>
  <c r="AP36" i="10"/>
  <c r="AN36" i="10" s="1"/>
  <c r="AQ9" i="6"/>
  <c r="AQ35" i="6"/>
  <c r="AQ19" i="13"/>
  <c r="G16" i="9"/>
  <c r="G19" i="10"/>
  <c r="AP20" i="10"/>
  <c r="AN20" i="10" s="1"/>
  <c r="G15" i="8"/>
  <c r="AQ10" i="13"/>
  <c r="AQ33" i="12"/>
  <c r="AP24" i="9"/>
  <c r="AN24" i="9" s="1"/>
  <c r="AQ30" i="10"/>
  <c r="AP31" i="13"/>
  <c r="AN31" i="13" s="1"/>
  <c r="AQ22" i="7"/>
  <c r="AP10" i="14"/>
  <c r="AN10" i="14" s="1"/>
  <c r="G16" i="12"/>
  <c r="AP29" i="11"/>
  <c r="AN29" i="11" s="1"/>
  <c r="AQ10" i="10"/>
  <c r="G14" i="11"/>
  <c r="G18" i="7"/>
  <c r="AQ35" i="7"/>
  <c r="AP5" i="6"/>
  <c r="AN5" i="6" s="1"/>
  <c r="AQ21" i="7"/>
  <c r="G20" i="8"/>
  <c r="AP28" i="11"/>
  <c r="AN28" i="11" s="1"/>
  <c r="AP15" i="9"/>
  <c r="AN15" i="9" s="1"/>
  <c r="AQ17" i="13"/>
  <c r="G25" i="7"/>
  <c r="AQ36" i="9"/>
  <c r="AQ6" i="7"/>
  <c r="AP32" i="13"/>
  <c r="AN32" i="13" s="1"/>
  <c r="AQ15" i="13"/>
  <c r="G30" i="6"/>
  <c r="AP11" i="12"/>
  <c r="AN11" i="12" s="1"/>
  <c r="AP19" i="13"/>
  <c r="AN19" i="13" s="1"/>
  <c r="AP27" i="11"/>
  <c r="AN27" i="11" s="1"/>
  <c r="G14" i="7"/>
  <c r="AP19" i="12"/>
  <c r="AN19" i="12" s="1"/>
  <c r="AQ8" i="13"/>
  <c r="AP19" i="8"/>
  <c r="AN19" i="8" s="1"/>
  <c r="AP36" i="13"/>
  <c r="AN36" i="13" s="1"/>
  <c r="AP18" i="6"/>
  <c r="AN18" i="6" s="1"/>
  <c r="AP16" i="13"/>
  <c r="AN16" i="13" s="1"/>
  <c r="AP27" i="13"/>
  <c r="AN27" i="13" s="1"/>
  <c r="AQ34" i="11"/>
  <c r="G18" i="13"/>
  <c r="G29" i="14"/>
  <c r="AQ13" i="9"/>
  <c r="G15" i="6"/>
  <c r="AQ19" i="10"/>
  <c r="AP19" i="7"/>
  <c r="AN19" i="7" s="1"/>
  <c r="AQ8" i="6"/>
  <c r="G20" i="7"/>
  <c r="AP24" i="8"/>
  <c r="AN24" i="8" s="1"/>
  <c r="AP8" i="13"/>
  <c r="AN8" i="13" s="1"/>
  <c r="AQ13" i="10"/>
  <c r="G16" i="14"/>
  <c r="AQ6" i="5"/>
  <c r="AP32" i="7"/>
  <c r="AN32" i="7" s="1"/>
  <c r="AP24" i="12"/>
  <c r="AN24" i="12" s="1"/>
  <c r="G22" i="7"/>
  <c r="AQ13" i="12"/>
  <c r="AQ25" i="10"/>
  <c r="AP26" i="10"/>
  <c r="AN26" i="10" s="1"/>
  <c r="AP20" i="5"/>
  <c r="AP22" i="11"/>
  <c r="AN22" i="11" s="1"/>
  <c r="AQ30" i="5"/>
  <c r="AQ19" i="12"/>
  <c r="AQ17" i="6"/>
  <c r="AQ30" i="8"/>
  <c r="G25" i="13"/>
  <c r="AP18" i="8"/>
  <c r="AN18" i="8" s="1"/>
  <c r="AP26" i="13"/>
  <c r="AN26" i="13" s="1"/>
  <c r="G30" i="10"/>
  <c r="AQ10" i="14"/>
  <c r="AP28" i="6"/>
  <c r="AN28" i="6" s="1"/>
  <c r="AQ14" i="9"/>
  <c r="AQ31" i="6"/>
  <c r="G19" i="9"/>
  <c r="AQ24" i="12"/>
  <c r="AP13" i="12"/>
  <c r="AN13" i="12" s="1"/>
  <c r="G23" i="12"/>
  <c r="AQ34" i="7"/>
  <c r="AQ15" i="9"/>
  <c r="AP36" i="12"/>
  <c r="AN36" i="12" s="1"/>
  <c r="AQ5" i="8"/>
  <c r="G8" i="8" s="1"/>
  <c r="G5" i="8" s="1"/>
  <c r="W21" i="8" s="1"/>
  <c r="AQ22" i="10"/>
  <c r="AP8" i="14"/>
  <c r="AN8" i="14" s="1"/>
  <c r="G20" i="14"/>
  <c r="AQ32" i="12"/>
  <c r="G30" i="12"/>
  <c r="AQ20" i="9"/>
  <c r="AQ32" i="11"/>
  <c r="AQ11" i="12"/>
  <c r="G8" i="12" s="1"/>
  <c r="G5" i="12" s="1"/>
  <c r="AP9" i="8"/>
  <c r="AN9" i="8" s="1"/>
  <c r="AQ7" i="5"/>
  <c r="AQ24" i="14"/>
  <c r="AP33" i="10"/>
  <c r="AN33" i="10" s="1"/>
  <c r="AP30" i="13"/>
  <c r="AN30" i="13" s="1"/>
  <c r="G26" i="10"/>
  <c r="AQ14" i="10"/>
  <c r="G24" i="12"/>
  <c r="AP7" i="14"/>
  <c r="AN7" i="14" s="1"/>
  <c r="AP26" i="12"/>
  <c r="AN26" i="12" s="1"/>
  <c r="AP31" i="14"/>
  <c r="AN31" i="14" s="1"/>
  <c r="AQ8" i="7"/>
  <c r="J8" i="11"/>
  <c r="J5" i="11" s="1"/>
  <c r="Y22" i="11" s="1"/>
  <c r="AJ19" i="14"/>
  <c r="C12" i="14"/>
  <c r="J8" i="7"/>
  <c r="J5" i="7" s="1"/>
  <c r="AC27" i="7" s="1"/>
  <c r="J8" i="9"/>
  <c r="J5" i="9" s="1"/>
  <c r="W20" i="9" s="1"/>
  <c r="J8" i="6"/>
  <c r="J5" i="6" s="1"/>
  <c r="AC27" i="6" s="1"/>
  <c r="AB27" i="8"/>
  <c r="J8" i="13"/>
  <c r="J5" i="13" s="1"/>
  <c r="X21" i="13" s="1"/>
  <c r="AB27" i="10"/>
  <c r="AI19" i="6"/>
  <c r="X21" i="12"/>
  <c r="AC27" i="12"/>
  <c r="AH21" i="7"/>
  <c r="AC27" i="11"/>
  <c r="AC27" i="14"/>
  <c r="AL19" i="9"/>
  <c r="AB32" i="9"/>
  <c r="W21" i="13"/>
  <c r="C26" i="11"/>
  <c r="C12" i="11"/>
  <c r="C28" i="10"/>
  <c r="C26" i="8"/>
  <c r="G26" i="8"/>
  <c r="C26" i="9"/>
  <c r="C27" i="6"/>
  <c r="AJ19" i="6"/>
  <c r="C26" i="6" s="1"/>
  <c r="C12" i="6"/>
  <c r="G26" i="11" a="1"/>
  <c r="C13" i="14" a="1"/>
  <c r="G28" i="10" a="1"/>
  <c r="G26" i="6" a="1"/>
  <c r="G27" i="6" a="1"/>
  <c r="C13" i="11" a="1"/>
  <c r="G26" i="9" a="1"/>
  <c r="C13" i="6" a="1"/>
  <c r="W21" i="12" l="1"/>
  <c r="C28" i="12" s="1"/>
  <c r="AB27" i="12"/>
  <c r="C12" i="12"/>
  <c r="C29" i="11"/>
  <c r="J8" i="10"/>
  <c r="J5" i="10" s="1"/>
  <c r="X22" i="11"/>
  <c r="AB27" i="11"/>
  <c r="J8" i="8"/>
  <c r="J5" i="8" s="1"/>
  <c r="C28" i="7"/>
  <c r="AB27" i="7"/>
  <c r="AG21" i="7"/>
  <c r="AB27" i="14"/>
  <c r="AI19" i="14"/>
  <c r="C26" i="14" s="1"/>
  <c r="C12" i="7"/>
  <c r="C13" i="14"/>
  <c r="C12" i="13"/>
  <c r="C27" i="9"/>
  <c r="AC27" i="13"/>
  <c r="AC32" i="9"/>
  <c r="C12" i="9"/>
  <c r="C28" i="13"/>
  <c r="G27" i="6"/>
  <c r="C13" i="11"/>
  <c r="G26" i="11"/>
  <c r="G28" i="10"/>
  <c r="G26" i="9"/>
  <c r="G26" i="6"/>
  <c r="C13" i="6"/>
  <c r="G28" i="12" a="1"/>
  <c r="C13" i="7" a="1"/>
  <c r="C13" i="13" a="1"/>
  <c r="C13" i="12" a="1"/>
  <c r="C13" i="9" a="1"/>
  <c r="G29" i="11" a="1"/>
  <c r="G28" i="7" a="1"/>
  <c r="G26" i="14" a="1"/>
  <c r="G27" i="9" a="1"/>
  <c r="G28" i="13" a="1"/>
  <c r="G26" i="14" l="1"/>
  <c r="G28" i="7"/>
  <c r="G29" i="11"/>
  <c r="C13" i="12"/>
  <c r="G28" i="12"/>
  <c r="AC27" i="8"/>
  <c r="X21" i="8"/>
  <c r="C28" i="8" s="1"/>
  <c r="C12" i="8"/>
  <c r="AF20" i="10"/>
  <c r="C27" i="10" s="1"/>
  <c r="AC27" i="10"/>
  <c r="C12" i="10"/>
  <c r="C13" i="7"/>
  <c r="G27" i="9"/>
  <c r="C13" i="13"/>
  <c r="C13" i="9"/>
  <c r="G28" i="13"/>
  <c r="P8" i="5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G27" i="10" a="1"/>
  <c r="C13" i="10" a="1"/>
  <c r="G28" i="8" a="1"/>
  <c r="C13" i="8" a="1"/>
  <c r="C13" i="8" l="1"/>
  <c r="G28" i="8"/>
  <c r="C13" i="10"/>
  <c r="G27" i="10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N4" i="1" a="1"/>
  <c r="Z4" i="1" a="1"/>
  <c r="X6" i="1" a="1"/>
  <c r="G7" i="1"/>
  <c r="K6" i="1" a="1"/>
  <c r="AB6" i="1" a="1"/>
  <c r="AA6" i="1" a="1"/>
  <c r="I6" i="1" a="1"/>
  <c r="V7" i="1"/>
  <c r="E7" i="1"/>
  <c r="R4" i="1" a="1"/>
  <c r="C4" i="1" a="1"/>
  <c r="J7" i="1"/>
  <c r="E6" i="1" a="1"/>
  <c r="J6" i="1" a="1"/>
  <c r="D6" i="1" a="1"/>
  <c r="AC6" i="1" a="1"/>
  <c r="S6" i="1" a="1"/>
  <c r="N6" i="1" a="1"/>
  <c r="P6" i="1" a="1"/>
  <c r="C7" i="1"/>
  <c r="AE6" i="1" a="1"/>
  <c r="D4" i="1" a="1"/>
  <c r="C6" i="1" a="1"/>
  <c r="AG6" i="1" a="1"/>
  <c r="U6" i="1" a="1"/>
  <c r="R6" i="1" a="1"/>
  <c r="F6" i="1" a="1"/>
  <c r="D7" i="1"/>
  <c r="O6" i="1" a="1"/>
  <c r="H7" i="1"/>
  <c r="G6" i="1" a="1"/>
  <c r="AF6" i="1" a="1"/>
  <c r="H4" i="1" a="1"/>
  <c r="F4" i="1" a="1"/>
  <c r="Y6" i="1" a="1"/>
  <c r="AD6" i="1" a="1"/>
  <c r="Q6" i="1" a="1"/>
  <c r="V4" i="1" a="1"/>
  <c r="W6" i="1" a="1"/>
  <c r="AH6" i="1" a="1"/>
  <c r="Z6" i="1" a="1"/>
  <c r="G4" i="1" a="1"/>
  <c r="H6" i="1" a="1"/>
  <c r="M6" i="1" a="1"/>
  <c r="V6" i="1" a="1"/>
  <c r="T6" i="1" a="1"/>
  <c r="C14" i="5"/>
  <c r="L6" i="1" a="1"/>
  <c r="F7" i="1"/>
  <c r="N7" i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X4" i="1" a="1"/>
  <c r="AB7" i="1"/>
  <c r="J4" i="1" a="1"/>
  <c r="W4" i="1" a="1"/>
  <c r="AC7" i="1"/>
  <c r="AA4" i="1" a="1"/>
  <c r="K7" i="1"/>
  <c r="I4" i="1" a="1"/>
  <c r="AG7" i="1"/>
  <c r="AA7" i="1"/>
  <c r="AF7" i="1"/>
  <c r="AE7" i="1"/>
  <c r="L7" i="1"/>
  <c r="M7" i="1"/>
  <c r="T7" i="1"/>
  <c r="P7" i="1"/>
  <c r="AH7" i="1"/>
  <c r="O4" i="1" a="1"/>
  <c r="L4" i="1" a="1"/>
  <c r="U7" i="1"/>
  <c r="AC4" i="1" a="1"/>
  <c r="I7" i="1"/>
  <c r="X7" i="1"/>
  <c r="O7" i="1"/>
  <c r="S7" i="1"/>
  <c r="T4" i="1" a="1"/>
  <c r="AG4" i="1" a="1"/>
  <c r="AB4" i="1" a="1"/>
  <c r="AD4" i="1" a="1"/>
  <c r="AH4" i="1" a="1"/>
  <c r="S4" i="1" a="1"/>
  <c r="E4" i="1" a="1"/>
  <c r="W7" i="1"/>
  <c r="U4" i="1" a="1"/>
  <c r="P4" i="1" a="1"/>
  <c r="R7" i="1"/>
  <c r="AE4" i="1" a="1"/>
  <c r="Y4" i="1" a="1"/>
  <c r="Y7" i="1"/>
  <c r="Q7" i="1"/>
  <c r="Z7" i="1"/>
  <c r="M4" i="1" a="1"/>
  <c r="Q4" i="1" a="1"/>
  <c r="AD7" i="1"/>
  <c r="AF4" i="1" a="1"/>
  <c r="K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<sst xmlns="http://schemas.openxmlformats.org/spreadsheetml/2006/main" count="5369" uniqueCount="337">
  <si>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</si>
  <si>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</si>
  <si>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</si>
  <si>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</si>
  <si>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</si>
  <si>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</si>
  <si>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</si>
  <si>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</si>
  <si>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</si>
  <si>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</si>
  <si>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</si>
  <si>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</si>
  <si>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</si>
  <si>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</si>
  <si>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</si>
  <si>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</si>
  <si>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</si>
  <si>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</si>
  <si>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</si>
  <si>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</si>
  <si>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</si>
  <si>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</si>
  <si>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</si>
  <si>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</si>
  <si>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</si>
  <si>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</si>
  <si>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</si>
  <si>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</si>
  <si>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</si>
  <si>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</si>
  <si>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</si>
  <si>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</si>
  <si>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</si>
  <si>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</si>
  <si>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</si>
  <si>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</si>
  <si>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</si>
  <si>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</si>
  <si>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</si>
  <si>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</si>
  <si>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</si>
  <si>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</si>
  <si>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</si>
  <si>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</si>
  <si>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</si>
  <si>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</si>
  <si>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</si>
  <si>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</si>
  <si>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</si>
  <si>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</si>
  <si>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</si>
  <si>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</si>
  <si>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</si>
  <si>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</si>
  <si>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</si>
  <si>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</si>
  <si>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</si>
  <si>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</si>
  <si>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</si>
  <si>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</si>
  <si>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</si>
  <si>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</si>
  <si>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</si>
  <si>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</si>
  <si>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</si>
  <si>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</si>
  <si>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</si>
  <si>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</si>
  <si>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</si>
  <si>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</si>
  <si>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</si>
  <si>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</si>
  <si>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</si>
  <si>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</si>
  <si>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</si>
  <si>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</si>
  <si>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</si>
  <si>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</si>
  <si>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</si>
  <si>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</si>
  <si>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</si>
  <si>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</si>
  <si>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</si>
  <si>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</si>
  <si>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</si>
  <si>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</si>
  <si>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</si>
  <si>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</si>
  <si>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</si>
  <si>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</si>
  <si>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</si>
  <si>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</si>
  <si>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</si>
  <si>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</si>
  <si>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</si>
  <si>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</si>
  <si>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</si>
  <si>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</si>
  <si>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</si>
  <si>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</si>
  <si>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</si>
  <si>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</si>
  <si>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</si>
  <si>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</si>
  <si>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</si>
  <si>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</si>
  <si>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</si>
  <si>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</si>
  <si>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</si>
  <si>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</si>
  <si>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</si>
  <si>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</si>
  <si>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</si>
  <si>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</si>
  <si>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</si>
  <si>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</si>
  <si>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</si>
  <si>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</si>
  <si>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</si>
  <si>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</si>
  <si>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</si>
  <si>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</si>
  <si>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</si>
  <si>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</si>
  <si>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</si>
  <si>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</si>
  <si>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</si>
  <si>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</si>
  <si>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</si>
  <si>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</si>
  <si>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</si>
  <si>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</si>
  <si>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</si>
  <si>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</si>
  <si>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</si>
  <si>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</si>
  <si>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</si>
  <si>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</si>
  <si>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</si>
  <si>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</si>
  <si>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</si>
  <si>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</si>
  <si>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</si>
  <si>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</si>
  <si>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</si>
  <si>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</si>
  <si>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</si>
  <si>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</si>
  <si>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</si>
  <si>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</si>
  <si>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</si>
  <si>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</si>
  <si>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</si>
  <si>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</si>
  <si>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</si>
  <si>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</si>
  <si>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</si>
  <si>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</si>
  <si>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</si>
  <si>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</si>
  <si>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</si>
  <si>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</si>
  <si>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</si>
  <si>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</si>
  <si>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</si>
  <si>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</si>
  <si>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</si>
  <si>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</si>
  <si>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</si>
  <si>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</si>
  <si>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</si>
  <si>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</si>
  <si>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</si>
  <si>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</si>
  <si>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</si>
  <si>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</si>
  <si>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</si>
  <si>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</si>
  <si>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</si>
  <si>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</si>
  <si>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</si>
  <si>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</si>
  <si>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</si>
  <si>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</si>
  <si>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</si>
  <si>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</si>
  <si>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</si>
  <si>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</si>
  <si>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</si>
  <si>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</si>
  <si>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</si>
  <si>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</si>
  <si>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</si>
  <si>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</si>
  <si>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</si>
  <si>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</si>
  <si>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</si>
  <si>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</si>
  <si>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</si>
  <si>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</si>
  <si>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</si>
  <si>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</si>
  <si>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</si>
  <si>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</si>
  <si>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</si>
  <si>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</si>
  <si>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</si>
  <si>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</si>
  <si>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</si>
  <si>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</si>
  <si>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</si>
  <si>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</si>
  <si>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</si>
  <si>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</si>
  <si>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</si>
  <si>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</si>
  <si>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</si>
  <si>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</si>
  <si>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</si>
  <si>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</si>
  <si>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</si>
  <si>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</si>
  <si>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</si>
  <si>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</si>
  <si>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</si>
  <si>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</si>
  <si>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</si>
  <si>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</si>
  <si>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</si>
  <si>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</si>
  <si>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</si>
  <si>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</si>
  <si>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</si>
  <si>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</si>
  <si>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</si>
  <si>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</si>
  <si>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</si>
  <si>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</si>
  <si>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</si>
  <si>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</si>
  <si>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</si>
  <si>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</si>
  <si>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</si>
  <si>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</si>
  <si>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</si>
  <si>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</si>
  <si>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</si>
  <si>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</si>
  <si>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</si>
  <si>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</si>
  <si>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</si>
  <si>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</si>
  <si>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</si>
  <si>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</si>
  <si>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</si>
  <si>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</si>
  <si>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</si>
  <si>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</si>
  <si>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</si>
  <si>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</si>
  <si>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</si>
  <si>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</si>
  <si>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</si>
  <si>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</si>
  <si>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</si>
  <si>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</si>
  <si>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</si>
  <si>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</si>
  <si>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</si>
  <si>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</si>
  <si>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</si>
  <si>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</si>
  <si>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</si>
  <si>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</si>
  <si>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</si>
  <si>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</si>
  <si>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</si>
  <si>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</si>
  <si>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</si>
  <si>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</si>
  <si>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</si>
  <si>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</si>
  <si>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</si>
  <si>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</si>
  <si>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</si>
  <si>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</si>
  <si>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</si>
  <si>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</si>
  <si>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</si>
  <si>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</si>
  <si>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</si>
  <si>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</si>
  <si>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</si>
  <si>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</si>
  <si>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</si>
  <si>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</si>
  <si>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</si>
  <si>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</si>
  <si>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</si>
  <si>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</si>
  <si>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</si>
  <si>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</si>
  <si>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</si>
  <si>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</si>
  <si>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</si>
  <si>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</si>
  <si>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</si>
  <si>
    <t>MaxL nits</t>
  </si>
  <si>
    <t>MinL nits</t>
  </si>
  <si>
    <t>a0</t>
  </si>
  <si>
    <t>ee</t>
  </si>
  <si>
    <t>91</t>
  </si>
  <si>
    <t>a1</t>
  </si>
  <si>
    <t>d1</t>
  </si>
  <si>
    <t>1b</t>
  </si>
  <si>
    <t>36</t>
  </si>
  <si>
    <t>f1</t>
  </si>
  <si>
    <t>35</t>
  </si>
  <si>
    <t>EDID Analyzer</t>
  </si>
  <si>
    <t>EDID Decode (xs4all.nl)</t>
  </si>
  <si>
    <t>Old Size Dec</t>
  </si>
  <si>
    <t>New Size Hex</t>
  </si>
  <si>
    <t>be</t>
  </si>
  <si>
    <t>2e</t>
  </si>
  <si>
    <t>C:\exes\ez_dv_edid_fw\Epson 5040UB\ezcoo_fw_Epson5040UB_BT2020_ML332.hex</t>
  </si>
  <si>
    <t>c:\exes\ez_dv_edid_fw\ezcoo_30hz_ml332.hex.txt</t>
  </si>
  <si>
    <t>6C</t>
  </si>
  <si>
    <t>c:\exes\ez_dv_edid_fw\ezcoo_espon_ls12000__atmos_dv.hex.txt</t>
  </si>
  <si>
    <t>Atmos String</t>
  </si>
  <si>
    <t>5b</t>
  </si>
  <si>
    <t>25</t>
  </si>
  <si>
    <t>9e</t>
  </si>
  <si>
    <t>b5</t>
  </si>
  <si>
    <t>5c</t>
  </si>
  <si>
    <t>2a</t>
  </si>
  <si>
    <t>LS12000 Native</t>
  </si>
  <si>
    <t>C:\exes\ez_dv_edid_fw\SP12H2\Epson LS12000\ezcoo_fw_LS12000 Native_ML385.hex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</si>
</sst>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1" fillId="2" borderId="28" xfId="0" quotePrefix="1" applyFont="1" applyFill="1" applyBorder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0" fontId="0" fillId="2" borderId="21" xfId="0" quotePrefix="1" applyFill="1" applyBorder="1" applyAlignment="1">
      <alignment horizontal="center"/>
    </xf>
    <xf numFmtId="0" fontId="0" fillId="2" borderId="15" xfId="0" quotePrefix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4" fillId="0" borderId="0" xfId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60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5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6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6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8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279597F-FAD6-4A8E-88E3-A05EF320D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EDD52001-3CBE-477F-B882-F834B2DE5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D79FC1C8-943C-4A02-9C54-417AA2D02E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B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C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C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D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D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E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openxmlformats.org/officeDocument/2006/relationships/ctrlProp" Target="../ctrlProps/ctrlProp2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3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openxmlformats.org/officeDocument/2006/relationships/ctrlProp" Target="../ctrlProps/ctrlProp35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openxmlformats.org/officeDocument/2006/relationships/ctrlProp" Target="../ctrlProps/ctrlProp4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7" Type="http://schemas.openxmlformats.org/officeDocument/2006/relationships/ctrlProp" Target="../ctrlProps/ctrlProp45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48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36" sqref="C36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K45" sqref="K45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44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0.26500000000000001</v>
      </c>
      <c r="N7" s="33" t="s">
        <v>19</v>
      </c>
      <c r="O7" s="22">
        <f>INDEX(AY15:AY17,MATCH($I$3,$AU$15:$AU$17,0))</f>
        <v>0.69</v>
      </c>
      <c r="P7" s="33" t="s">
        <v>19</v>
      </c>
      <c r="Q7" s="22">
        <f>INDEX(AV15:AV17,MATCH($I$3,$AU$15:$AU$17,0))</f>
        <v>0.68</v>
      </c>
      <c r="R7" s="23">
        <f>INDEX(AZ15:AZ17,MATCH($I$3,$AU$15:$AU$17,0))</f>
        <v>0.15</v>
      </c>
      <c r="S7" s="9">
        <f>INDEX(AW15:AW17,MATCH($I$3,$AU$15:$AU$17,0))</f>
        <v>0.32</v>
      </c>
      <c r="T7" s="23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1000011</v>
      </c>
      <c r="N8" s="20">
        <f>IF(AND(EXACT(N7,"Supported"),EXACT(P7,"Not Supported")),1,0)</f>
        <v>0</v>
      </c>
      <c r="O8" s="26" t="str">
        <f>DEC2BIN((O7-0.5)/((0.99609375-0.5)/127),7)</f>
        <v>0110000</v>
      </c>
      <c r="P8" s="20">
        <f>IF(AND(EXACT(P7,"Supported"),EXACT(N7,"Not Supported")),1,0)</f>
        <v>0</v>
      </c>
      <c r="Q8" s="19" t="str">
        <f>DEC2BIN((Q7-0.625)/((0.74609375-0.625)/31),5)</f>
        <v>01110</v>
      </c>
      <c r="R8" s="18" t="str">
        <f>DEC2BIN((R7-0.125)/((0.15234375-0.125)/7),3)</f>
        <v>110</v>
      </c>
      <c r="S8" s="19" t="str">
        <f>DEC2BIN((S7-0.25)/((0.37109375-0.25)/31),5)</f>
        <v>10001</v>
      </c>
      <c r="T8" s="18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293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EB0146D0004503488660768F</v>
      </c>
      <c r="D12" s="51"/>
      <c r="E12" s="51"/>
      <c r="F12" s="51"/>
      <c r="G12" s="51"/>
      <c r="H12" s="51"/>
      <c r="I12" s="51"/>
      <c r="J12" s="52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5D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86" t="s">
        <v>5</v>
      </c>
      <c r="C14" s="43" t="str">
        <f>_xlfn.CONCAT(":1074A000060501",C$12,"8C",IntelHexChecksum(_xlfn.CONCAT("1074A000060501",C$12,"8C")))</f>
        <v>:1074A000060501EB0146D0004503488660768F8CC7</v>
      </c>
      <c r="D14" s="44"/>
      <c r="E14" s="44"/>
      <c r="F14" s="44"/>
      <c r="G14" s="44"/>
      <c r="H14" s="44"/>
      <c r="I14" s="44"/>
      <c r="J14" s="45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60"/>
      <c r="AQ40" s="60"/>
    </row>
    <row r="41" spans="40:43" x14ac:dyDescent="0.3">
      <c r="AP41" s="60"/>
      <c r="AQ41" s="60"/>
    </row>
    <row r="42" spans="40:43" x14ac:dyDescent="0.3">
      <c r="AP42" s="60"/>
      <c r="AQ42" s="60"/>
    </row>
    <row r="43" spans="40:43" x14ac:dyDescent="0.3">
      <c r="AP43" s="60"/>
      <c r="AQ43" s="60"/>
    </row>
    <row r="44" spans="40:43" x14ac:dyDescent="0.3">
      <c r="AP44" s="60"/>
      <c r="AQ44" s="60"/>
    </row>
    <row r="45" spans="40:43" x14ac:dyDescent="0.3">
      <c r="AP45" s="60"/>
      <c r="AQ45" s="60"/>
    </row>
    <row r="46" spans="40:43" x14ac:dyDescent="0.3">
      <c r="AP46" s="60"/>
      <c r="AQ46" s="60"/>
    </row>
    <row r="47" spans="40:43" x14ac:dyDescent="0.3">
      <c r="AP47" s="60"/>
      <c r="AQ47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59" priority="4">
      <formula>$E$7="Not Supported"</formula>
    </cfRule>
  </conditionalFormatting>
  <conditionalFormatting sqref="N7">
    <cfRule type="expression" dxfId="58" priority="3">
      <formula>$P$7="Supported"</formula>
    </cfRule>
  </conditionalFormatting>
  <conditionalFormatting sqref="P7">
    <cfRule type="expression" dxfId="57" priority="2">
      <formula>$N$7="Supported"</formula>
    </cfRule>
  </conditionalFormatting>
  <conditionalFormatting sqref="N7 P7">
    <cfRule type="expression" dxfId="5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A0A7-B6ED-43C4-A6BD-9FF67442E2E8}">
  <sheetPr codeName="Sheet17"/>
  <dimension ref="B2:BC54"/>
  <sheetViews>
    <sheetView zoomScale="90" zoomScaleNormal="90" workbookViewId="0">
      <selection activeCell="F39" sqref="F39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42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48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99</v>
      </c>
      <c r="N5" s="102"/>
      <c r="O5" s="101" t="str">
        <f>BIN2HEX(_xlfn.CONCAT(O8,P8),2)</f>
        <v>32</v>
      </c>
      <c r="P5" s="102"/>
      <c r="Q5" s="101" t="str">
        <f>BIN2HEX(_xlfn.CONCAT(Q8,R8),2)</f>
        <v>1E</v>
      </c>
      <c r="R5" s="102"/>
      <c r="S5" s="101" t="str">
        <f>BIN2HEX(_xlfn.CONCAT(S8,T8),2)</f>
        <v>A7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0.3</v>
      </c>
      <c r="N7" s="33" t="s">
        <v>18</v>
      </c>
      <c r="O7" s="22">
        <f>INDEX(AY15:AY17,MATCH($I$3,$AU$15:$AU$17,0))</f>
        <v>0.6</v>
      </c>
      <c r="P7" s="33" t="s">
        <v>19</v>
      </c>
      <c r="Q7" s="22">
        <f>INDEX(AV15:AV17,MATCH($I$3,$AU$15:$AU$17,0))</f>
        <v>0.64</v>
      </c>
      <c r="R7" s="23">
        <f>INDEX(AZ15:AZ17,MATCH($I$3,$AU$15:$AU$17,0))</f>
        <v>0.15</v>
      </c>
      <c r="S7" s="9">
        <f>INDEX(AW15:AW17,MATCH($I$3,$AU$15:$AU$17,0))</f>
        <v>0.33</v>
      </c>
      <c r="T7" s="23">
        <f>INDEX(BA15:BA17,MATCH($I$3,$AU$15:$AU$17,0))</f>
        <v>0.06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128</v>
      </c>
      <c r="AF7" s="60" t="s">
        <v>129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1001100</v>
      </c>
      <c r="N8" s="20">
        <f>IF(AND(EXACT(N7,"Supported"),EXACT(P7,"Not Supported")),1,0)</f>
        <v>1</v>
      </c>
      <c r="O8" s="26" t="str">
        <f>DEC2BIN((O7-0.5)/((0.99609375-0.5)/127),7)</f>
        <v>0011001</v>
      </c>
      <c r="P8" s="20">
        <f>IF(AND(EXACT(P7,"Supported"),EXACT(N7,"Not Supported")),1,0)</f>
        <v>0</v>
      </c>
      <c r="Q8" s="19" t="str">
        <f>DEC2BIN((Q7-0.625)/((0.74609375-0.625)/31),5)</f>
        <v>00011</v>
      </c>
      <c r="R8" s="18" t="str">
        <f>DEC2BIN((R7-0.125)/((0.15234375-0.125)/7),3)</f>
        <v>110</v>
      </c>
      <c r="S8" s="19" t="str">
        <f>DEC2BIN((S7-0.25)/((0.37109375-0.25)/31),5)</f>
        <v>10100</v>
      </c>
      <c r="T8" s="18" t="str">
        <f>DEC2BIN((T7-0.03125)/((0.05859375-0.03125)/7),3)</f>
        <v>111</v>
      </c>
      <c r="V8" s="60"/>
      <c r="W8" s="60" t="s">
        <v>95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117</v>
      </c>
      <c r="AF8" s="60" t="s">
        <v>133</v>
      </c>
      <c r="AG8" s="60" t="s">
        <v>134</v>
      </c>
      <c r="AH8" s="60" t="s">
        <v>129</v>
      </c>
      <c r="AI8" s="60" t="s">
        <v>108</v>
      </c>
      <c r="AJ8" s="60" t="s">
        <v>135</v>
      </c>
      <c r="AK8" s="60" t="s">
        <v>136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135</v>
      </c>
      <c r="Z9" s="60" t="s">
        <v>125</v>
      </c>
      <c r="AA9" s="60" t="s">
        <v>140</v>
      </c>
      <c r="AB9" s="60" t="s">
        <v>7</v>
      </c>
      <c r="AC9" s="60" t="s">
        <v>141</v>
      </c>
      <c r="AD9" s="60" t="s">
        <v>112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143</v>
      </c>
      <c r="AJ9" s="60" t="s">
        <v>7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119</v>
      </c>
      <c r="X11" s="60" t="s">
        <v>7</v>
      </c>
      <c r="Y11" s="60" t="s">
        <v>106</v>
      </c>
      <c r="Z11" s="60" t="s">
        <v>149</v>
      </c>
      <c r="AA11" s="60" t="s">
        <v>134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EB0146D00048034899321EA7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106</v>
      </c>
      <c r="AB12" s="60" t="s">
        <v>149</v>
      </c>
      <c r="AC12" s="60" t="s">
        <v>134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B5</v>
      </c>
      <c r="D13" s="36"/>
      <c r="E13" s="36"/>
      <c r="F13" s="36"/>
      <c r="G13" s="36"/>
      <c r="H13" s="36"/>
      <c r="I13" s="36"/>
      <c r="J13" s="41"/>
      <c r="V13" s="60"/>
      <c r="W13" s="60" t="s">
        <v>142</v>
      </c>
      <c r="X13" s="60" t="s">
        <v>155</v>
      </c>
      <c r="Y13" s="60" t="s">
        <v>121</v>
      </c>
      <c r="Z13" s="60" t="s">
        <v>156</v>
      </c>
      <c r="AA13" s="60" t="s">
        <v>121</v>
      </c>
      <c r="AB13" s="60" t="s">
        <v>157</v>
      </c>
      <c r="AC13" s="60" t="s">
        <v>121</v>
      </c>
      <c r="AD13" s="60" t="s">
        <v>139</v>
      </c>
      <c r="AE13" s="60" t="s">
        <v>117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126</v>
      </c>
      <c r="Y14" s="60" t="s">
        <v>159</v>
      </c>
      <c r="Z14" s="60" t="s">
        <v>74</v>
      </c>
      <c r="AA14" s="60" t="s">
        <v>160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139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:1073E000000004190103807341780acf74a3574c</v>
      </c>
      <c r="D15" s="36"/>
      <c r="E15" s="36"/>
      <c r="F15" s="36"/>
      <c r="G15" s="36" t="str" cm="1">
        <f t="array" ref="G15">IntelHexChecksum(RIGHT(C15,40))</f>
        <v>3D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70</v>
      </c>
      <c r="Z15" s="60" t="s">
        <v>71</v>
      </c>
      <c r="AA15" s="60" t="s">
        <v>90</v>
      </c>
      <c r="AB15" s="60" t="s">
        <v>91</v>
      </c>
      <c r="AC15" s="60" t="s">
        <v>92</v>
      </c>
      <c r="AD15" s="60" t="s">
        <v>93</v>
      </c>
      <c r="AE15" s="60" t="s">
        <v>94</v>
      </c>
      <c r="AF15" s="60" t="s">
        <v>6</v>
      </c>
      <c r="AG15" s="60" t="s">
        <v>89</v>
      </c>
      <c r="AH15" s="60" t="s">
        <v>95</v>
      </c>
      <c r="AI15" s="60" t="s">
        <v>96</v>
      </c>
      <c r="AJ15" s="60" t="s">
        <v>97</v>
      </c>
      <c r="AK15" s="60" t="s">
        <v>28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:1073F000b02309484c2108008180454061409500</v>
      </c>
      <c r="D16" s="36"/>
      <c r="E16" s="36"/>
      <c r="F16" s="36"/>
      <c r="G16" s="36" t="str" cm="1">
        <f t="array" ref="G16">IntelHexChecksum(RIGHT(C16,40))</f>
        <v>38</v>
      </c>
      <c r="H16" s="36"/>
      <c r="I16" s="36"/>
      <c r="J16" s="41"/>
      <c r="V16" s="60"/>
      <c r="W16" s="60" t="s">
        <v>99</v>
      </c>
      <c r="X16" s="60" t="s">
        <v>100</v>
      </c>
      <c r="Y16" s="60" t="s">
        <v>101</v>
      </c>
      <c r="Z16" s="60" t="s">
        <v>72</v>
      </c>
      <c r="AA16" s="60" t="s">
        <v>102</v>
      </c>
      <c r="AB16" s="60" t="s">
        <v>103</v>
      </c>
      <c r="AC16" s="60" t="s">
        <v>73</v>
      </c>
      <c r="AD16" s="60" t="s">
        <v>104</v>
      </c>
      <c r="AE16" s="60" t="s">
        <v>105</v>
      </c>
      <c r="AF16" s="60" t="s">
        <v>74</v>
      </c>
      <c r="AG16" s="60" t="s">
        <v>75</v>
      </c>
      <c r="AH16" s="60" t="s">
        <v>97</v>
      </c>
      <c r="AI16" s="60" t="s">
        <v>76</v>
      </c>
      <c r="AJ16" s="60" t="s">
        <v>77</v>
      </c>
      <c r="AK16" s="60" t="s">
        <v>106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106</v>
      </c>
      <c r="Y17" s="60" t="s">
        <v>78</v>
      </c>
      <c r="Z17" s="60" t="s">
        <v>79</v>
      </c>
      <c r="AA17" s="60" t="s">
        <v>6</v>
      </c>
      <c r="AB17" s="60" t="s">
        <v>108</v>
      </c>
      <c r="AC17" s="60" t="s">
        <v>97</v>
      </c>
      <c r="AD17" s="60" t="s">
        <v>6</v>
      </c>
      <c r="AE17" s="60" t="s">
        <v>109</v>
      </c>
      <c r="AF17" s="60" t="s">
        <v>79</v>
      </c>
      <c r="AG17" s="60" t="s">
        <v>89</v>
      </c>
      <c r="AH17" s="60" t="s">
        <v>110</v>
      </c>
      <c r="AI17" s="60" t="s">
        <v>78</v>
      </c>
      <c r="AJ17" s="60" t="s">
        <v>7</v>
      </c>
      <c r="AK17" s="60" t="s">
        <v>7</v>
      </c>
      <c r="AL17" s="60" t="s">
        <v>80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:10741000b0588a00501d7400001e023a80187138</v>
      </c>
      <c r="D18" s="36"/>
      <c r="E18" s="36"/>
      <c r="F18" s="36"/>
      <c r="G18" s="36" t="str" cm="1">
        <f t="array" ref="G18">IntelHexChecksum(RIGHT(C18,40))</f>
        <v>5E</v>
      </c>
      <c r="H18" s="36"/>
      <c r="I18" s="36"/>
      <c r="J18" s="41"/>
      <c r="V18" s="60"/>
      <c r="W18" s="60" t="s">
        <v>96</v>
      </c>
      <c r="X18" s="60" t="s">
        <v>81</v>
      </c>
      <c r="Y18" s="60" t="s">
        <v>7</v>
      </c>
      <c r="Z18" s="60" t="s">
        <v>82</v>
      </c>
      <c r="AA18" s="60" t="s">
        <v>89</v>
      </c>
      <c r="AB18" s="60" t="s">
        <v>83</v>
      </c>
      <c r="AC18" s="60" t="s">
        <v>7</v>
      </c>
      <c r="AD18" s="60" t="s">
        <v>29</v>
      </c>
      <c r="AE18" s="60" t="s">
        <v>7</v>
      </c>
      <c r="AF18" s="60" t="s">
        <v>111</v>
      </c>
      <c r="AG18" s="60" t="s">
        <v>84</v>
      </c>
      <c r="AH18" s="60" t="s">
        <v>102</v>
      </c>
      <c r="AI18" s="60" t="s">
        <v>112</v>
      </c>
      <c r="AJ18" s="60" t="s">
        <v>112</v>
      </c>
      <c r="AK18" s="60" t="s">
        <v>6</v>
      </c>
      <c r="AL18" s="60" t="s">
        <v>88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:107420002d40582c4500501d7400001e000000fc</v>
      </c>
      <c r="D19" s="36"/>
      <c r="E19" s="36"/>
      <c r="F19" s="36"/>
      <c r="G19" s="36" t="str" cm="1">
        <f t="array" ref="G19">IntelHexChecksum(RIGHT(C19,40))</f>
        <v>2B</v>
      </c>
      <c r="H19" s="36"/>
      <c r="I19" s="36"/>
      <c r="J19" s="41"/>
      <c r="V19" s="60"/>
      <c r="W19" s="60" t="s">
        <v>89</v>
      </c>
      <c r="X19" s="60" t="s">
        <v>95</v>
      </c>
      <c r="Y19" s="60" t="s">
        <v>85</v>
      </c>
      <c r="Z19" s="60" t="s">
        <v>74</v>
      </c>
      <c r="AA19" s="60" t="s">
        <v>74</v>
      </c>
      <c r="AB19" s="60" t="s">
        <v>109</v>
      </c>
      <c r="AC19" s="60" t="s">
        <v>86</v>
      </c>
      <c r="AD19" s="60" t="s">
        <v>70</v>
      </c>
      <c r="AE19" s="60" t="s">
        <v>87</v>
      </c>
      <c r="AF19" s="60" t="s">
        <v>6</v>
      </c>
      <c r="AG19" s="60" t="s">
        <v>113</v>
      </c>
      <c r="AH19" s="60" t="s">
        <v>112</v>
      </c>
      <c r="AI19" s="60" t="s">
        <v>89</v>
      </c>
      <c r="AJ19" s="60" t="s">
        <v>80</v>
      </c>
      <c r="AK19" s="60" t="s">
        <v>114</v>
      </c>
      <c r="AL19" s="60" t="s">
        <v>96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:10743000004d45432d4f2d332d480a2020200000</v>
      </c>
      <c r="D20" s="36"/>
      <c r="E20" s="36"/>
      <c r="F20" s="36"/>
      <c r="G20" s="36" t="str" cm="1">
        <f t="array" ref="G20">IntelHexChecksum(RIGHT(C20,40))</f>
        <v>BC</v>
      </c>
      <c r="H20" s="36"/>
      <c r="I20" s="36"/>
      <c r="J20" s="41"/>
      <c r="V20" s="60"/>
      <c r="W20" s="60" t="s">
        <v>6</v>
      </c>
      <c r="X20" s="91" t="s">
        <v>205</v>
      </c>
      <c r="Y20" s="91" t="s">
        <v>6</v>
      </c>
      <c r="Z20" s="91" t="s">
        <v>180</v>
      </c>
      <c r="AA20" s="91" t="s">
        <v>118</v>
      </c>
      <c r="AB20" s="91" t="s">
        <v>7</v>
      </c>
      <c r="AC20" s="62" t="str">
        <f>C5</f>
        <v>48</v>
      </c>
      <c r="AD20" s="62" t="str">
        <f>G5</f>
        <v>03</v>
      </c>
      <c r="AE20" s="62" t="str">
        <f>J5</f>
        <v>48</v>
      </c>
      <c r="AF20" s="62" t="str">
        <f>M5</f>
        <v>99</v>
      </c>
      <c r="AG20" s="62" t="str">
        <f>O5</f>
        <v>32</v>
      </c>
      <c r="AH20" s="62" t="str">
        <f>Q5</f>
        <v>1E</v>
      </c>
      <c r="AI20" s="62" t="str">
        <f>S5</f>
        <v>A7</v>
      </c>
      <c r="AJ20" s="60" t="s">
        <v>116</v>
      </c>
      <c r="AK20" s="60" t="s">
        <v>117</v>
      </c>
      <c r="AL20" s="97" t="s">
        <v>118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:1074400000fd00184b0f873c000a202020202020</v>
      </c>
      <c r="D21" s="36"/>
      <c r="E21" s="36"/>
      <c r="F21" s="36"/>
      <c r="G21" s="36" t="str" cm="1">
        <f t="array" ref="G21">IntelHexChecksum(RIGHT(C21,40))</f>
        <v>40</v>
      </c>
      <c r="H21" s="36"/>
      <c r="I21" s="36"/>
      <c r="J21" s="41"/>
      <c r="V21" s="60"/>
      <c r="W21" t="s">
        <v>119</v>
      </c>
      <c r="X21" t="s">
        <v>102</v>
      </c>
      <c r="Y21" t="s">
        <v>120</v>
      </c>
      <c r="Z21" t="s">
        <v>121</v>
      </c>
      <c r="AA21" t="s">
        <v>28</v>
      </c>
      <c r="AB21" t="s">
        <v>28</v>
      </c>
      <c r="AC21" s="60" t="s">
        <v>122</v>
      </c>
      <c r="AD21" s="60" t="s">
        <v>124</v>
      </c>
      <c r="AE21" s="60" t="s">
        <v>7</v>
      </c>
      <c r="AF21" s="60" t="s">
        <v>87</v>
      </c>
      <c r="AG21" s="60" t="s">
        <v>123</v>
      </c>
      <c r="AH21" s="60" t="s">
        <v>125</v>
      </c>
      <c r="AI21" s="60" t="s">
        <v>7</v>
      </c>
      <c r="AJ21" s="60" t="s">
        <v>7</v>
      </c>
      <c r="AK21" s="60" t="s">
        <v>126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:10745000014802035df253616065660103040507</v>
      </c>
      <c r="D22" s="36"/>
      <c r="E22" s="36"/>
      <c r="F22" s="36"/>
      <c r="G22" s="36" t="str" cm="1">
        <f t="array" ref="G22">IntelHexChecksum(RIGHT(C22,40))</f>
        <v>9C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332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:1074600010121314161f20223f40320f7f073d1e</v>
      </c>
      <c r="D23" s="36"/>
      <c r="E23" s="36"/>
      <c r="F23" s="36"/>
      <c r="G23" s="36" t="str" cm="1">
        <f t="array" ref="G23">IntelHexChecksum(RIGHT(C23,40))</f>
        <v>BB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:10747000501507505f7e01570701677e03835f00</v>
      </c>
      <c r="D24" s="36"/>
      <c r="E24" s="36"/>
      <c r="F24" s="36"/>
      <c r="G24" s="36" t="str" cm="1">
        <f t="array" ref="G24">IntelHexChecksum(RIGHT(C24,40))</f>
        <v>49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:1074800000e305c0006e030c001100383c208080</v>
      </c>
      <c r="D25" s="36"/>
      <c r="E25" s="36"/>
      <c r="F25" s="36"/>
      <c r="G25" s="36" t="str" cm="1">
        <f t="array" ref="G25">IntelHexChecksum(RIGHT(C25,40))</f>
        <v>32</v>
      </c>
      <c r="H25" s="36"/>
      <c r="I25" s="36"/>
      <c r="J25" s="41"/>
      <c r="U25" t="s">
        <v>320</v>
      </c>
      <c r="V25" s="12">
        <f>HEX2DEC(Y15)</f>
        <v>93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:1074900001020304e20f0f67d85dc401788003e3</v>
      </c>
      <c r="D26" s="36"/>
      <c r="E26" s="36"/>
      <c r="F26" s="36"/>
      <c r="G26" s="36" t="str" cm="1">
        <f t="array" ref="G26">IntelHexChecksum(RIGHT(C26,40))</f>
        <v>A3</v>
      </c>
      <c r="H26" s="36"/>
      <c r="I26" s="36"/>
      <c r="J26" s="41"/>
      <c r="U26" t="s">
        <v>321</v>
      </c>
      <c r="V26" t="str">
        <f>DEC2HEX(V25+12)</f>
        <v>69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:1074A000060501eb0146d00048034899321EA78c</v>
      </c>
      <c r="D27" s="36"/>
      <c r="E27" s="36"/>
      <c r="F27" s="36"/>
      <c r="G27" s="36" t="str" cm="1">
        <f t="array" ref="G27">IntelHexChecksum(RIGHT(C27,40))</f>
        <v>1F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03</v>
      </c>
      <c r="AC27" t="str">
        <f>$J$5</f>
        <v>48</v>
      </c>
      <c r="AD27" t="str">
        <f>$M$5</f>
        <v>99</v>
      </c>
      <c r="AE27" t="str">
        <f>$O$5</f>
        <v>32</v>
      </c>
      <c r="AF27" t="str">
        <f>$Q$5</f>
        <v>1E</v>
      </c>
      <c r="AG27" t="str">
        <f>$S$5</f>
        <v>A7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:1074B0000ad08a20e02d10103e9600c48e210000</v>
      </c>
      <c r="D28" s="36"/>
      <c r="E28" s="36"/>
      <c r="F28" s="36"/>
      <c r="G28" s="36" t="str" cm="1">
        <f t="array" ref="G28">IntelHexChecksum(RIGHT(C28,40))</f>
        <v>D4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:1074C00018000000000000000000000000000000</v>
      </c>
      <c r="D29" s="36"/>
      <c r="E29" s="36"/>
      <c r="F29" s="36"/>
      <c r="G29" s="36" t="str" cm="1">
        <f t="array" ref="G29">IntelHexChecksum(RIGHT(C29,40))</f>
        <v>A4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:1074D00000b500FFFFFFFFFFFF00371801000100</v>
      </c>
      <c r="D30" s="44"/>
      <c r="E30" s="44"/>
      <c r="F30" s="44"/>
      <c r="G30" s="44" t="str" cm="1">
        <f t="array" ref="G30">IntelHexChecksum(RIGHT(C30,40))</f>
        <v>AC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55" priority="4">
      <formula>$E$7="Not Supported"</formula>
    </cfRule>
  </conditionalFormatting>
  <conditionalFormatting sqref="N7">
    <cfRule type="expression" dxfId="54" priority="3">
      <formula>$P$7="Supported"</formula>
    </cfRule>
  </conditionalFormatting>
  <conditionalFormatting sqref="P7">
    <cfRule type="expression" dxfId="53" priority="2">
      <formula>$N$7="Supported"</formula>
    </cfRule>
  </conditionalFormatting>
  <conditionalFormatting sqref="N7 P7">
    <cfRule type="expression" dxfId="52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4AB5E8AC-D25C-469B-A96D-D8A7CF5CB42B}">
      <formula1>$AQ$5:$AQ$36</formula1>
    </dataValidation>
    <dataValidation type="list" allowBlank="1" showInputMessage="1" showErrorMessage="1" sqref="E7:F7 H7 N7 P7" xr:uid="{E7FCCC43-4637-445F-AE34-EFD928004371}">
      <formula1>"Supported, Not Supported"</formula1>
    </dataValidation>
    <dataValidation type="list" allowBlank="1" showInputMessage="1" showErrorMessage="1" sqref="L7" xr:uid="{8F4A6F07-013F-41BD-BA36-1187868133EB}">
      <formula1>$AU$5:$AU$8</formula1>
    </dataValidation>
    <dataValidation type="list" allowBlank="1" showInputMessage="1" showErrorMessage="1" sqref="I3" xr:uid="{D29FC643-BF75-4164-8E4D-813D4C479FB9}">
      <formula1>$AU$15:$AU$17</formula1>
    </dataValidation>
    <dataValidation type="list" allowBlank="1" showInputMessage="1" showErrorMessage="1" sqref="I7" xr:uid="{6472AF7A-5B40-4CA2-A765-9037B62B4EED}">
      <formula1>$AR$5:$AR$9</formula1>
    </dataValidation>
    <dataValidation type="list" allowBlank="1" showInputMessage="1" showErrorMessage="1" sqref="J7" xr:uid="{9C8238B8-FE47-4627-9785-6AF0AC82904E}">
      <formula1>$AN$5:$AN$36</formula1>
    </dataValidation>
  </dataValidations>
  <hyperlinks>
    <hyperlink ref="V24" r:id="rId1" xr:uid="{6F95568A-851F-42CF-803C-2D8ECC96317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54DAE-96A5-46AF-BCD9-4483AF9259A2}">
  <sheetPr codeName="Sheet15"/>
  <dimension ref="B2:BC54"/>
  <sheetViews>
    <sheetView zoomScale="90" zoomScaleNormal="90" workbookViewId="0">
      <selection activeCell="L41" sqref="L4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48</v>
      </c>
      <c r="D5" s="103"/>
      <c r="E5" s="103"/>
      <c r="F5" s="104"/>
      <c r="G5" s="105" t="str">
        <f>DEC2HEX(_xlfn.BITLSHIFT(BIN2DEC(G8),3)+_xlfn.BITLSHIFT(BIN2DEC(H8),2)+BIN2DEC(I8),2)</f>
        <v>53</v>
      </c>
      <c r="H5" s="101"/>
      <c r="I5" s="102"/>
      <c r="J5" s="105" t="str">
        <f>DEC2HEX(_xlfn.BITLSHIFT(BIN2DEC(J8),3)+_xlfn.BITLSHIFT(BIN2DEC(K8),1)+BIN2DEC(L8),2)</f>
        <v>40</v>
      </c>
      <c r="K5" s="101"/>
      <c r="L5" s="102"/>
      <c r="M5" s="101" t="str">
        <f>BIN2HEX(_xlfn.CONCAT(M8,N8),2)</f>
        <v>56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EB0146D0004853405698A953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13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78</v>
      </c>
      <c r="AC15" s="60" t="s">
        <v>78</v>
      </c>
      <c r="AD15" s="60" t="s">
        <v>78</v>
      </c>
      <c r="AE15" s="60" t="s">
        <v>78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99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40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:107450000107020366f0555f5f5f5f5f5e5d6210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HEX2DEC(Y15)</f>
        <v>102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72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:1074B000004853405698A9530000000000000000</v>
      </c>
      <c r="D28" s="36"/>
      <c r="E28" s="36"/>
      <c r="F28" s="36"/>
      <c r="G28" s="36" t="str" cm="1">
        <f t="array" ref="G28">IntelHexChecksum(RIGHT(C28,40))</f>
        <v>07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51" priority="4">
      <formula>$E$7="Not Supported"</formula>
    </cfRule>
  </conditionalFormatting>
  <conditionalFormatting sqref="N7">
    <cfRule type="expression" dxfId="50" priority="3">
      <formula>$P$7="Supported"</formula>
    </cfRule>
  </conditionalFormatting>
  <conditionalFormatting sqref="P7">
    <cfRule type="expression" dxfId="49" priority="2">
      <formula>$N$7="Supported"</formula>
    </cfRule>
  </conditionalFormatting>
  <conditionalFormatting sqref="N7 P7">
    <cfRule type="expression" dxfId="4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688B842-B7FE-4F5C-A80E-523256613630}">
      <formula1>$AN$5:$AN$36</formula1>
    </dataValidation>
    <dataValidation type="list" allowBlank="1" showInputMessage="1" showErrorMessage="1" sqref="I7" xr:uid="{C7EA50C1-53F5-4E3E-9F02-3CCD5D0835D5}">
      <formula1>$AR$5:$AR$9</formula1>
    </dataValidation>
    <dataValidation type="list" allowBlank="1" showInputMessage="1" showErrorMessage="1" sqref="I3" xr:uid="{6D4C2C37-D972-4BB1-A51D-7D07D2CA557B}">
      <formula1>$AU$15:$AU$17</formula1>
    </dataValidation>
    <dataValidation type="list" allowBlank="1" showInputMessage="1" showErrorMessage="1" sqref="L7" xr:uid="{6CAFF540-4833-40D8-BDE7-4566CB874742}">
      <formula1>$AU$5:$AU$8</formula1>
    </dataValidation>
    <dataValidation type="list" allowBlank="1" showInputMessage="1" showErrorMessage="1" sqref="E7:F7 H7 N7 P7" xr:uid="{E66DB479-3301-4FF0-BF35-CD99F913EFFF}">
      <formula1>"Supported, Not Supported"</formula1>
    </dataValidation>
    <dataValidation type="list" allowBlank="1" showInputMessage="1" showErrorMessage="1" sqref="G7" xr:uid="{08A94519-B0C9-49B8-9CB9-8DAA137701F8}">
      <formula1>$AQ$5:$AQ$36</formula1>
    </dataValidation>
  </dataValidations>
  <hyperlinks>
    <hyperlink ref="V24" r:id="rId1" xr:uid="{4D278597-A8B3-4FA2-B631-8FE432E58AE6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2485D-87C7-47C6-8D04-027B4FAB79D5}">
  <sheetPr codeName="Sheet18"/>
  <dimension ref="B2:BC54"/>
  <sheetViews>
    <sheetView zoomScale="90" zoomScaleNormal="90" workbookViewId="0">
      <selection activeCell="I53" sqref="I5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48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196</v>
      </c>
      <c r="AH7" s="60" t="s">
        <v>333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314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334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EB0146D0004803485798A953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5A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:1073D000008600ffffffffffff002963905c0101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137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:1073E0000101001b010380dd7d782a6be9ab544c</v>
      </c>
      <c r="D15" s="36"/>
      <c r="E15" s="36"/>
      <c r="F15" s="36"/>
      <c r="G15" s="36" t="str" cm="1">
        <f t="array" ref="G15">IntelHexChecksum(RIGHT(C15,40))</f>
        <v>61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128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102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48</v>
      </c>
      <c r="AE20" s="62" t="str">
        <f>G5</f>
        <v>03</v>
      </c>
      <c r="AF20" s="62" t="str">
        <f>J5</f>
        <v>48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:10745000012302035e3455909f85942004131112</v>
      </c>
      <c r="D22" s="36"/>
      <c r="E22" s="36"/>
      <c r="F22" s="36"/>
      <c r="G22" s="36" t="str" cm="1">
        <f t="array" ref="G22">IntelHexChecksum(RIGHT(C22,40))</f>
        <v>7A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:107470002000383ce041ff41ff808a0102030408</v>
      </c>
      <c r="D24" s="36"/>
      <c r="E24" s="36"/>
      <c r="F24" s="36"/>
      <c r="G24" s="36" t="str" cm="1">
        <f t="array" ref="G24">IntelHexChecksum(RIGHT(C24,40))</f>
        <v>FC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HEX2DEC(Y15)</f>
        <v>94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321</v>
      </c>
      <c r="V26" t="str">
        <f>DEC2HEX(V25+12)</f>
        <v>6A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:1074A00001000000eb0146d0004803485798A953</v>
      </c>
      <c r="D27" s="36"/>
      <c r="E27" s="36"/>
      <c r="F27" s="36"/>
      <c r="G27" s="36" t="str" cm="1">
        <f t="array" ref="G27">IntelHexChecksum(RIGHT(C27,40))</f>
        <v>5B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03</v>
      </c>
      <c r="AC27" t="str">
        <f>$J$5</f>
        <v>48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</row>
    <row r="38" spans="2:55" x14ac:dyDescent="0.3">
      <c r="B38" s="1"/>
      <c r="C38" s="88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91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47" priority="4">
      <formula>$E$7="Not Supported"</formula>
    </cfRule>
  </conditionalFormatting>
  <conditionalFormatting sqref="N7">
    <cfRule type="expression" dxfId="46" priority="3">
      <formula>$P$7="Supported"</formula>
    </cfRule>
  </conditionalFormatting>
  <conditionalFormatting sqref="P7">
    <cfRule type="expression" dxfId="45" priority="2">
      <formula>$N$7="Supported"</formula>
    </cfRule>
  </conditionalFormatting>
  <conditionalFormatting sqref="N7 P7">
    <cfRule type="expression" dxfId="4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DF87209-D5A9-4ED5-A673-E02C8F1C7109}">
      <formula1>$AN$5:$AN$36</formula1>
    </dataValidation>
    <dataValidation type="list" allowBlank="1" showInputMessage="1" showErrorMessage="1" sqref="I7" xr:uid="{5732FFA4-1254-46AB-8C2D-14316A99EE4C}">
      <formula1>$AR$5:$AR$9</formula1>
    </dataValidation>
    <dataValidation type="list" allowBlank="1" showInputMessage="1" showErrorMessage="1" sqref="I3" xr:uid="{44A9B41C-E839-4A62-B016-4426199F154A}">
      <formula1>$AU$15:$AU$17</formula1>
    </dataValidation>
    <dataValidation type="list" allowBlank="1" showInputMessage="1" showErrorMessage="1" sqref="L7" xr:uid="{C4519B90-1589-4513-A21D-7555BC484A56}">
      <formula1>$AU$5:$AU$8</formula1>
    </dataValidation>
    <dataValidation type="list" allowBlank="1" showInputMessage="1" showErrorMessage="1" sqref="E7:F7 H7 N7 P7" xr:uid="{399D6F63-D347-4C91-9E49-1870C1825B88}">
      <formula1>"Supported, Not Supported"</formula1>
    </dataValidation>
    <dataValidation type="list" allowBlank="1" showInputMessage="1" showErrorMessage="1" sqref="G7" xr:uid="{6F7CB892-A929-4917-9B65-3290F4359559}">
      <formula1>$AQ$5:$AQ$36</formula1>
    </dataValidation>
  </dataValidations>
  <hyperlinks>
    <hyperlink ref="V24" r:id="rId1" xr:uid="{86AF12A6-3C6D-466C-8384-ACE5D479D554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DDC3-C747-4949-A393-F184E7F2D9FC}">
  <sheetPr codeName="Sheet14"/>
  <dimension ref="B2:BC67"/>
  <sheetViews>
    <sheetView topLeftCell="D1" zoomScale="90" zoomScaleNormal="90" workbookViewId="0">
      <selection activeCell="AB19" sqref="AB19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40</v>
      </c>
      <c r="K5" s="101"/>
      <c r="L5" s="102"/>
      <c r="M5" s="101" t="str">
        <f>BIN2HEX(_xlfn.CONCAT(M8,N8),2)</f>
        <v>56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7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107</v>
      </c>
      <c r="X8" s="95" t="s">
        <v>183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95</v>
      </c>
      <c r="AD10" s="95" t="s">
        <v>134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77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UPPER(_xlfn.CONCAT(":1073D0000086",_xlfn.CONCAT(W7:AJ7)))</f>
        <v>:1073D000008600FFFFFFFFFFFF004CA300A80101</v>
      </c>
      <c r="D14" s="36"/>
      <c r="E14" s="36"/>
      <c r="F14" s="36"/>
      <c r="G14" s="36" t="str" cm="1">
        <f t="array" ref="G14">IntelHexChecksum(RIGHT(C14,40))</f>
        <v>94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322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 t="shared" ref="C15:C29" si="1">UPPER(_xlfn.CONCAT(":10",RIGHT(B15,4),"00",AK7:AL7,W8:AJ8))</f>
        <v>:1073E0000101151A0103800000780EDE50A3544C</v>
      </c>
      <c r="D15" s="36"/>
      <c r="E15" s="36"/>
      <c r="F15" s="36"/>
      <c r="G15" s="36" t="str" cm="1">
        <f t="array" ref="G15">IntelHexChecksum(RIGHT(C15,40))</f>
        <v>F1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241</v>
      </c>
      <c r="Z15" s="95" t="s">
        <v>239</v>
      </c>
      <c r="AA15" s="95" t="s">
        <v>195</v>
      </c>
      <c r="AB15" s="95" t="s">
        <v>196</v>
      </c>
      <c r="AC15" s="95" t="s">
        <v>72</v>
      </c>
      <c r="AD15" s="95" t="s">
        <v>102</v>
      </c>
      <c r="AE15" s="95" t="s">
        <v>103</v>
      </c>
      <c r="AF15" s="95" t="s">
        <v>96</v>
      </c>
      <c r="AG15" s="95" t="s">
        <v>100</v>
      </c>
      <c r="AH15" s="95" t="s">
        <v>95</v>
      </c>
      <c r="AI15" s="95" t="s">
        <v>99</v>
      </c>
      <c r="AJ15" s="95" t="s">
        <v>89</v>
      </c>
      <c r="AK15" s="95" t="s">
        <v>88</v>
      </c>
      <c r="AL15" s="95" t="s">
        <v>98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si="1"/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29</v>
      </c>
      <c r="X16" s="95" t="s">
        <v>97</v>
      </c>
      <c r="Y16" s="95" t="s">
        <v>114</v>
      </c>
      <c r="Z16" s="95" t="s">
        <v>101</v>
      </c>
      <c r="AA16" s="95" t="s">
        <v>107</v>
      </c>
      <c r="AB16" s="95" t="s">
        <v>78</v>
      </c>
      <c r="AC16" s="95" t="s">
        <v>197</v>
      </c>
      <c r="AD16" s="95" t="s">
        <v>70</v>
      </c>
      <c r="AE16" s="95" t="s">
        <v>198</v>
      </c>
      <c r="AF16" s="95" t="s">
        <v>6</v>
      </c>
      <c r="AG16" s="95" t="s">
        <v>74</v>
      </c>
      <c r="AH16" s="95" t="s">
        <v>184</v>
      </c>
      <c r="AI16" s="95" t="s">
        <v>77</v>
      </c>
      <c r="AJ16" s="95" t="s">
        <v>149</v>
      </c>
      <c r="AK16" s="95" t="s">
        <v>199</v>
      </c>
      <c r="AL16" s="95" t="s">
        <v>89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1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95" t="s">
        <v>83</v>
      </c>
      <c r="X17" s="95" t="s">
        <v>7</v>
      </c>
      <c r="Y17" s="95" t="s">
        <v>28</v>
      </c>
      <c r="Z17" s="95" t="s">
        <v>7</v>
      </c>
      <c r="AA17" s="95" t="s">
        <v>200</v>
      </c>
      <c r="AB17" s="95" t="s">
        <v>84</v>
      </c>
      <c r="AC17" s="95" t="s">
        <v>120</v>
      </c>
      <c r="AD17" s="95" t="s">
        <v>323</v>
      </c>
      <c r="AE17" s="95" t="s">
        <v>127</v>
      </c>
      <c r="AF17" s="95" t="s">
        <v>125</v>
      </c>
      <c r="AG17" s="95" t="s">
        <v>127</v>
      </c>
      <c r="AH17" s="95" t="s">
        <v>81</v>
      </c>
      <c r="AI17" s="95" t="s">
        <v>193</v>
      </c>
      <c r="AJ17" s="95" t="s">
        <v>6</v>
      </c>
      <c r="AK17" s="95" t="s">
        <v>88</v>
      </c>
      <c r="AL17" s="95" t="s">
        <v>89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1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95</v>
      </c>
      <c r="X18" s="95" t="s">
        <v>6</v>
      </c>
      <c r="Y18" s="95" t="s">
        <v>7</v>
      </c>
      <c r="Z18" s="95" t="s">
        <v>7</v>
      </c>
      <c r="AA18" s="95" t="s">
        <v>202</v>
      </c>
      <c r="AB18" s="95" t="s">
        <v>80</v>
      </c>
      <c r="AC18" s="95" t="s">
        <v>96</v>
      </c>
      <c r="AD18" s="95" t="s">
        <v>81</v>
      </c>
      <c r="AE18" s="95" t="s">
        <v>7</v>
      </c>
      <c r="AF18" s="95" t="s">
        <v>85</v>
      </c>
      <c r="AG18" s="95" t="s">
        <v>7</v>
      </c>
      <c r="AH18" s="95" t="s">
        <v>203</v>
      </c>
      <c r="AI18" s="95" t="s">
        <v>204</v>
      </c>
      <c r="AJ18" s="95" t="s">
        <v>184</v>
      </c>
      <c r="AK18" s="95" t="s">
        <v>92</v>
      </c>
      <c r="AL18" s="95" t="s">
        <v>91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1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93</v>
      </c>
      <c r="X19" s="95" t="s">
        <v>94</v>
      </c>
      <c r="Y19" s="95" t="s">
        <v>80</v>
      </c>
      <c r="Z19" s="95" t="s">
        <v>114</v>
      </c>
      <c r="AA19" s="95" t="s">
        <v>96</v>
      </c>
      <c r="AB19" s="96" t="s">
        <v>6</v>
      </c>
      <c r="AC19" s="95" t="s">
        <v>205</v>
      </c>
      <c r="AD19" s="95" t="s">
        <v>6</v>
      </c>
      <c r="AE19" s="95" t="s">
        <v>180</v>
      </c>
      <c r="AF19" s="95" t="s">
        <v>118</v>
      </c>
      <c r="AG19" s="95" t="s">
        <v>7</v>
      </c>
      <c r="AH19" s="97" t="str">
        <f>C5</f>
        <v>45</v>
      </c>
      <c r="AI19" s="97" t="str">
        <f>G5</f>
        <v>03</v>
      </c>
      <c r="AJ19" s="97" t="str">
        <f>J5</f>
        <v>40</v>
      </c>
      <c r="AK19" s="97" t="str">
        <f>M5</f>
        <v>56</v>
      </c>
      <c r="AL19" s="97" t="str">
        <f>O5</f>
        <v>98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1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97" t="str">
        <f>Q5</f>
        <v>A9</v>
      </c>
      <c r="X20" s="97" t="str">
        <f>S5</f>
        <v>53</v>
      </c>
      <c r="Y20" s="95" t="s">
        <v>7</v>
      </c>
      <c r="Z20" s="95" t="s">
        <v>7</v>
      </c>
      <c r="AA20" s="95" t="s">
        <v>7</v>
      </c>
      <c r="AB20" s="95" t="s">
        <v>7</v>
      </c>
      <c r="AC20" s="95" t="s">
        <v>7</v>
      </c>
      <c r="AD20" s="95" t="s">
        <v>7</v>
      </c>
      <c r="AE20" s="95" t="s">
        <v>7</v>
      </c>
      <c r="AF20" s="95" t="s">
        <v>7</v>
      </c>
      <c r="AG20" s="95" t="s">
        <v>7</v>
      </c>
      <c r="AH20" s="95" t="s">
        <v>7</v>
      </c>
      <c r="AI20" s="95" t="s">
        <v>7</v>
      </c>
      <c r="AJ20" s="95" t="s">
        <v>7</v>
      </c>
      <c r="AK20" s="95" t="s">
        <v>7</v>
      </c>
      <c r="AL20" s="95" t="s">
        <v>7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1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7</v>
      </c>
      <c r="X21" s="95" t="s">
        <v>7</v>
      </c>
      <c r="Y21" s="95" t="s">
        <v>7</v>
      </c>
      <c r="Z21" s="95" t="s">
        <v>7</v>
      </c>
      <c r="AA21" s="95" t="s">
        <v>7</v>
      </c>
      <c r="AB21" s="95" t="s">
        <v>7</v>
      </c>
      <c r="AC21" s="95" t="s">
        <v>7</v>
      </c>
      <c r="AD21" s="95" t="s">
        <v>7</v>
      </c>
      <c r="AE21" s="95" t="s">
        <v>7</v>
      </c>
      <c r="AF21" s="95" t="s">
        <v>7</v>
      </c>
      <c r="AG21" s="95" t="s">
        <v>7</v>
      </c>
      <c r="AH21" s="95" t="s">
        <v>7</v>
      </c>
      <c r="AI21" s="95" t="s">
        <v>7</v>
      </c>
      <c r="AJ21" s="95" t="s">
        <v>7</v>
      </c>
      <c r="AK21" s="95" t="s">
        <v>7</v>
      </c>
      <c r="AL21" s="95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1"/>
        <v>:1074500001BE020352B259901F20220514041303</v>
      </c>
      <c r="D22" s="36"/>
      <c r="E22" s="36"/>
      <c r="F22" s="36"/>
      <c r="G22" s="36" t="str" cm="1">
        <f t="array" ref="G22">IntelHexChecksum(RIGHT(C22,40))</f>
        <v>E7</v>
      </c>
      <c r="H22" s="36"/>
      <c r="I22" s="36"/>
      <c r="J22" s="41"/>
      <c r="V22" s="60"/>
      <c r="W22" s="95" t="s">
        <v>7</v>
      </c>
      <c r="X22" s="95" t="s">
        <v>7</v>
      </c>
      <c r="Y22" s="95" t="s">
        <v>7</v>
      </c>
      <c r="Z22" s="95" t="s">
        <v>7</v>
      </c>
      <c r="AA22" s="95" t="s">
        <v>7</v>
      </c>
      <c r="AB22" s="95" t="s">
        <v>7</v>
      </c>
      <c r="AC22" s="95" t="s">
        <v>7</v>
      </c>
      <c r="AD22" s="95" t="s">
        <v>7</v>
      </c>
      <c r="AE22" s="95" t="s">
        <v>7</v>
      </c>
      <c r="AF22" s="95" t="s">
        <v>7</v>
      </c>
      <c r="AG22" s="95" t="s">
        <v>7</v>
      </c>
      <c r="AH22" s="95" t="s">
        <v>7</v>
      </c>
      <c r="AI22" s="95" t="s">
        <v>7</v>
      </c>
      <c r="AJ22" s="95" t="s">
        <v>7</v>
      </c>
      <c r="AK22" s="95" t="s">
        <v>7</v>
      </c>
      <c r="AL22" s="96" t="s">
        <v>158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1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1"/>
        <v>:1074700076030C001000B83CE02EFF21FFC08401</v>
      </c>
      <c r="D24" s="36"/>
      <c r="E24" s="36"/>
      <c r="F24" s="36"/>
      <c r="G24" s="36" t="str" cm="1">
        <f t="array" ref="G24">IntelHexChecksum(RIGHT(C24,40))</f>
        <v>11</v>
      </c>
      <c r="H24" s="36"/>
      <c r="I24" s="36"/>
      <c r="J24" s="41"/>
      <c r="U24" t="s">
        <v>318</v>
      </c>
      <c r="V24" s="98" t="s">
        <v>319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1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1"/>
        <v>:1074900060616566E3060501EB0146D000450340</v>
      </c>
      <c r="D26" s="36"/>
      <c r="E26" s="36"/>
      <c r="F26" s="36"/>
      <c r="G26" s="36" t="str" cm="1">
        <f t="array" ref="G26">IntelHexChecksum(RIGHT(C26,40))</f>
        <v>E7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1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1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1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UPPER(_xlfn.CONCAT(":10",RIGHT(B30,4),"00",AK22:AL22,"00FFFFFFFFFFFF00371801000100"))</f>
        <v>:1074D00000FD00FFFFFFFFFFFF00371801000100</v>
      </c>
      <c r="D30" s="44"/>
      <c r="E30" s="44"/>
      <c r="F30" s="44"/>
      <c r="G30" s="44" t="str" cm="1">
        <f t="array" ref="G30">IntelHexChecksum(RIGHT(C30,40))</f>
        <v>64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6"/>
      <c r="AK34" s="95"/>
      <c r="AL34" s="95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7"/>
      <c r="AI36" s="97"/>
      <c r="AJ36" s="97"/>
      <c r="AK36" s="97"/>
      <c r="AL36" s="97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6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6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43" priority="4">
      <formula>$E$7="Not Supported"</formula>
    </cfRule>
  </conditionalFormatting>
  <conditionalFormatting sqref="N7">
    <cfRule type="expression" dxfId="42" priority="3">
      <formula>$P$7="Supported"</formula>
    </cfRule>
  </conditionalFormatting>
  <conditionalFormatting sqref="P7">
    <cfRule type="expression" dxfId="41" priority="2">
      <formula>$N$7="Supported"</formula>
    </cfRule>
  </conditionalFormatting>
  <conditionalFormatting sqref="N7 P7">
    <cfRule type="expression" dxfId="4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B4A5EA67-1A64-4846-B11A-E9D3D7BA9194}">
      <formula1>$AQ$5:$AQ$36</formula1>
    </dataValidation>
    <dataValidation type="list" allowBlank="1" showInputMessage="1" showErrorMessage="1" sqref="E7:F7 H7 N7 P7" xr:uid="{4B8DA17E-2C52-4C7A-9790-D5D8D91BDF51}">
      <formula1>"Supported, Not Supported"</formula1>
    </dataValidation>
    <dataValidation type="list" allowBlank="1" showInputMessage="1" showErrorMessage="1" sqref="L7" xr:uid="{26AA8E8A-2782-427D-B481-5D3961C75DEA}">
      <formula1>$AU$5:$AU$8</formula1>
    </dataValidation>
    <dataValidation type="list" allowBlank="1" showInputMessage="1" showErrorMessage="1" sqref="I3" xr:uid="{B600E4BF-E18D-4FDB-90E6-472792EE21D1}">
      <formula1>$AU$15:$AU$17</formula1>
    </dataValidation>
    <dataValidation type="list" allowBlank="1" showInputMessage="1" showErrorMessage="1" sqref="I7" xr:uid="{CF7EE97A-79F8-4629-9328-021EE125AC32}">
      <formula1>$AR$5:$AR$9</formula1>
    </dataValidation>
    <dataValidation type="list" allowBlank="1" showInputMessage="1" showErrorMessage="1" sqref="J7" xr:uid="{93A70176-758D-4593-ABD3-CFDB32237746}">
      <formula1>$AN$5:$AN$36</formula1>
    </dataValidation>
  </dataValidations>
  <hyperlinks>
    <hyperlink ref="V24" r:id="rId1" xr:uid="{B0DEF470-82CA-49D7-8076-4EEC54ADBFE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7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7A67C-D523-4C6F-8E7B-247B37E65790}">
  <sheetPr codeName="Sheet16"/>
  <dimension ref="B2:BC67"/>
  <sheetViews>
    <sheetView zoomScale="90" zoomScaleNormal="90" workbookViewId="0">
      <selection activeCell="Y49" sqref="Y49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40</v>
      </c>
      <c r="K5" s="101"/>
      <c r="L5" s="102"/>
      <c r="M5" s="101" t="str">
        <f>BIN2HEX(_xlfn.CONCAT(M8,N8),2)</f>
        <v>56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96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137</v>
      </c>
      <c r="X8" s="95" t="s">
        <v>275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140</v>
      </c>
      <c r="AD10" s="95" t="s">
        <v>144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84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UPPER(_xlfn.CONCAT(":1073D0000086",_xlfn.CONCAT(W7:AJ7)))</f>
        <v>:1073D000008600FFFFFFFFFFFF004CA305A80101</v>
      </c>
      <c r="D14" s="36"/>
      <c r="E14" s="36"/>
      <c r="F14" s="36"/>
      <c r="G14" s="36" t="str" cm="1">
        <f t="array" ref="G14">IntelHexChecksum(RIGHT(C14,40))</f>
        <v>8F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99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 t="shared" ref="C15:C29" si="1">UPPER(_xlfn.CONCAT(":10",RIGHT(B15,4),"00",AK7:AL7,W8:AJ8))</f>
        <v>:1073E0000101231C0103800000780EDE50A3544C</v>
      </c>
      <c r="D15" s="36"/>
      <c r="E15" s="36"/>
      <c r="F15" s="36"/>
      <c r="G15" s="36" t="str" cm="1">
        <f t="array" ref="G15">IntelHexChecksum(RIGHT(C15,40))</f>
        <v>E1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195</v>
      </c>
      <c r="Z15" s="95" t="s">
        <v>239</v>
      </c>
      <c r="AA15" s="95" t="s">
        <v>329</v>
      </c>
      <c r="AB15" s="95" t="s">
        <v>91</v>
      </c>
      <c r="AC15" s="95" t="s">
        <v>92</v>
      </c>
      <c r="AD15" s="95" t="s">
        <v>78</v>
      </c>
      <c r="AE15" s="95" t="s">
        <v>197</v>
      </c>
      <c r="AF15" s="95" t="s">
        <v>70</v>
      </c>
      <c r="AG15" s="95" t="s">
        <v>94</v>
      </c>
      <c r="AH15" s="95" t="s">
        <v>93</v>
      </c>
      <c r="AI15" s="95" t="s">
        <v>253</v>
      </c>
      <c r="AJ15" s="95" t="s">
        <v>194</v>
      </c>
      <c r="AK15" s="95" t="s">
        <v>198</v>
      </c>
      <c r="AL15" s="95" t="s">
        <v>28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si="1"/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72</v>
      </c>
      <c r="X16" s="95" t="s">
        <v>102</v>
      </c>
      <c r="Y16" s="95" t="s">
        <v>95</v>
      </c>
      <c r="Z16" s="95" t="s">
        <v>99</v>
      </c>
      <c r="AA16" s="95" t="s">
        <v>103</v>
      </c>
      <c r="AB16" s="95" t="s">
        <v>96</v>
      </c>
      <c r="AC16" s="95" t="s">
        <v>100</v>
      </c>
      <c r="AD16" s="95" t="s">
        <v>89</v>
      </c>
      <c r="AE16" s="95" t="s">
        <v>88</v>
      </c>
      <c r="AF16" s="95" t="s">
        <v>98</v>
      </c>
      <c r="AG16" s="95" t="s">
        <v>29</v>
      </c>
      <c r="AH16" s="95" t="s">
        <v>97</v>
      </c>
      <c r="AI16" s="95" t="s">
        <v>114</v>
      </c>
      <c r="AJ16" s="95" t="s">
        <v>101</v>
      </c>
      <c r="AK16" s="95" t="s">
        <v>107</v>
      </c>
      <c r="AL16" s="95" t="s">
        <v>6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1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95" t="s">
        <v>199</v>
      </c>
      <c r="X17" s="95" t="s">
        <v>89</v>
      </c>
      <c r="Y17" s="95" t="s">
        <v>83</v>
      </c>
      <c r="Z17" s="95" t="s">
        <v>7</v>
      </c>
      <c r="AA17" s="95" t="s">
        <v>28</v>
      </c>
      <c r="AB17" s="95" t="s">
        <v>7</v>
      </c>
      <c r="AC17" s="95" t="s">
        <v>200</v>
      </c>
      <c r="AD17" s="95" t="s">
        <v>84</v>
      </c>
      <c r="AE17" s="95" t="s">
        <v>120</v>
      </c>
      <c r="AF17" s="95" t="s">
        <v>323</v>
      </c>
      <c r="AG17" s="95" t="s">
        <v>127</v>
      </c>
      <c r="AH17" s="95" t="s">
        <v>125</v>
      </c>
      <c r="AI17" s="95" t="s">
        <v>127</v>
      </c>
      <c r="AJ17" s="95" t="s">
        <v>81</v>
      </c>
      <c r="AK17" s="95" t="s">
        <v>193</v>
      </c>
      <c r="AL17" s="95" t="s">
        <v>6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1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88</v>
      </c>
      <c r="X18" s="95" t="s">
        <v>89</v>
      </c>
      <c r="Y18" s="95" t="s">
        <v>95</v>
      </c>
      <c r="Z18" s="95" t="s">
        <v>6</v>
      </c>
      <c r="AA18" s="95" t="s">
        <v>7</v>
      </c>
      <c r="AB18" s="95" t="s">
        <v>283</v>
      </c>
      <c r="AC18" s="95" t="s">
        <v>7</v>
      </c>
      <c r="AD18" s="95" t="s">
        <v>109</v>
      </c>
      <c r="AE18" s="95" t="s">
        <v>86</v>
      </c>
      <c r="AF18" s="95" t="s">
        <v>70</v>
      </c>
      <c r="AG18" s="95" t="s">
        <v>87</v>
      </c>
      <c r="AH18" s="95" t="s">
        <v>6</v>
      </c>
      <c r="AI18" s="95" t="s">
        <v>113</v>
      </c>
      <c r="AJ18" s="95" t="s">
        <v>112</v>
      </c>
      <c r="AK18" s="95" t="s">
        <v>89</v>
      </c>
      <c r="AL18" s="95" t="s">
        <v>80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1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96</v>
      </c>
      <c r="X19" s="95" t="s">
        <v>81</v>
      </c>
      <c r="Y19" s="95" t="s">
        <v>7</v>
      </c>
      <c r="Z19" s="95" t="s">
        <v>85</v>
      </c>
      <c r="AA19" s="95" t="s">
        <v>7</v>
      </c>
      <c r="AB19" s="95" t="s">
        <v>203</v>
      </c>
      <c r="AC19" s="95" t="s">
        <v>85</v>
      </c>
      <c r="AD19" s="95" t="s">
        <v>74</v>
      </c>
      <c r="AE19" s="95" t="s">
        <v>194</v>
      </c>
      <c r="AF19" s="95" t="s">
        <v>80</v>
      </c>
      <c r="AG19" s="95" t="s">
        <v>114</v>
      </c>
      <c r="AH19" s="97" t="s">
        <v>257</v>
      </c>
      <c r="AI19" s="12" t="s">
        <v>6</v>
      </c>
      <c r="AJ19" s="100" t="s">
        <v>205</v>
      </c>
      <c r="AK19" s="100" t="s">
        <v>6</v>
      </c>
      <c r="AL19" s="99">
        <v>46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1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99" t="s">
        <v>118</v>
      </c>
      <c r="X20" s="100" t="s">
        <v>7</v>
      </c>
      <c r="Y20" s="99" t="str">
        <f>C5</f>
        <v>45</v>
      </c>
      <c r="Z20" s="99" t="str">
        <f>G5</f>
        <v>03</v>
      </c>
      <c r="AA20" s="99" t="str">
        <f>J5</f>
        <v>40</v>
      </c>
      <c r="AB20" s="99" t="str">
        <f>M5</f>
        <v>56</v>
      </c>
      <c r="AC20" s="99" t="str">
        <f>O5</f>
        <v>98</v>
      </c>
      <c r="AD20" s="99" t="str">
        <f>Q5</f>
        <v>A9</v>
      </c>
      <c r="AE20" s="99" t="str">
        <f>S5</f>
        <v>53</v>
      </c>
      <c r="AF20" s="12" t="s">
        <v>6</v>
      </c>
      <c r="AG20" s="97" t="s">
        <v>150</v>
      </c>
      <c r="AH20" s="97">
        <v>80</v>
      </c>
      <c r="AI20" s="97" t="s">
        <v>118</v>
      </c>
      <c r="AJ20" s="97">
        <v>72</v>
      </c>
      <c r="AK20" s="95" t="s">
        <v>111</v>
      </c>
      <c r="AL20" s="95" t="s">
        <v>121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1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104</v>
      </c>
      <c r="X21" s="95" t="s">
        <v>28</v>
      </c>
      <c r="Y21" s="95" t="s">
        <v>152</v>
      </c>
      <c r="Z21" s="95" t="s">
        <v>142</v>
      </c>
      <c r="AA21" s="95" t="s">
        <v>112</v>
      </c>
      <c r="AB21" s="95" t="s">
        <v>104</v>
      </c>
      <c r="AC21" s="95" t="s">
        <v>193</v>
      </c>
      <c r="AD21" s="95" t="s">
        <v>194</v>
      </c>
      <c r="AE21" s="95" t="s">
        <v>7</v>
      </c>
      <c r="AF21" s="95" t="s">
        <v>7</v>
      </c>
      <c r="AG21" s="95" t="s">
        <v>77</v>
      </c>
      <c r="AH21" s="95" t="s">
        <v>6</v>
      </c>
      <c r="AI21" s="95" t="s">
        <v>149</v>
      </c>
      <c r="AJ21" s="95" t="s">
        <v>112</v>
      </c>
      <c r="AK21" s="95" t="s">
        <v>126</v>
      </c>
      <c r="AL21" s="95" t="s">
        <v>151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1"/>
        <v>:107450000113020359B25B61605F5E5D66656463</v>
      </c>
      <c r="D22" s="36"/>
      <c r="E22" s="36"/>
      <c r="F22" s="36"/>
      <c r="G22" s="36" t="str" cm="1">
        <f t="array" ref="G22">IntelHexChecksum(RIGHT(C22,40))</f>
        <v>40</v>
      </c>
      <c r="H22" s="36"/>
      <c r="I22" s="36"/>
      <c r="J22" s="41"/>
      <c r="V22" s="60"/>
      <c r="W22" s="95" t="s">
        <v>275</v>
      </c>
      <c r="X22" s="95" t="s">
        <v>101</v>
      </c>
      <c r="Y22" s="95" t="s">
        <v>102</v>
      </c>
      <c r="Z22" s="95" t="s">
        <v>148</v>
      </c>
      <c r="AA22" s="95" t="s">
        <v>152</v>
      </c>
      <c r="AB22" s="95" t="s">
        <v>330</v>
      </c>
      <c r="AC22" s="95" t="s">
        <v>7</v>
      </c>
      <c r="AD22" s="95" t="s">
        <v>104</v>
      </c>
      <c r="AE22" s="95" t="s">
        <v>193</v>
      </c>
      <c r="AF22" s="95" t="s">
        <v>194</v>
      </c>
      <c r="AG22" s="95" t="s">
        <v>7</v>
      </c>
      <c r="AH22" s="95" t="s">
        <v>7</v>
      </c>
      <c r="AI22" s="95" t="s">
        <v>331</v>
      </c>
      <c r="AJ22" s="95" t="s">
        <v>7</v>
      </c>
      <c r="AK22" s="95" t="s">
        <v>7</v>
      </c>
      <c r="AL22" s="96" t="s">
        <v>191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1"/>
        <v>:1074600062101F20041322051403021211070616</v>
      </c>
      <c r="D23" s="36"/>
      <c r="E23" s="36"/>
      <c r="F23" s="36"/>
      <c r="G23" s="36" t="str" cm="1">
        <f t="array" ref="G23">IntelHexChecksum(RIGHT(C23,40))</f>
        <v>CE</v>
      </c>
      <c r="H23" s="36"/>
      <c r="I23" s="36"/>
      <c r="J23" s="41"/>
      <c r="V23" s="60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1"/>
        <v>:10747000150176030C001000B83CE02EFF21FFC0</v>
      </c>
      <c r="D24" s="36"/>
      <c r="E24" s="36"/>
      <c r="F24" s="36"/>
      <c r="G24" s="36" t="str" cm="1">
        <f t="array" ref="G24">IntelHexChecksum(RIGHT(C24,40))</f>
        <v>80</v>
      </c>
      <c r="H24" s="36"/>
      <c r="I24" s="36"/>
      <c r="J24" s="41"/>
      <c r="U24" t="s">
        <v>318</v>
      </c>
      <c r="V24" s="98" t="s">
        <v>319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1"/>
        <v>:10748000840102030401007C0067D85DC4017880</v>
      </c>
      <c r="D25" s="36"/>
      <c r="E25" s="36"/>
      <c r="F25" s="36"/>
      <c r="G25" s="36" t="str" cm="1">
        <f t="array" ref="G25">IntelHexChecksum(RIGHT(C25,40))</f>
        <v>98</v>
      </c>
      <c r="H25" s="36"/>
      <c r="I25" s="36"/>
      <c r="J25" s="41"/>
      <c r="U25" t="s">
        <v>320</v>
      </c>
      <c r="V25" s="12">
        <f>HEX2DEC(Y15)</f>
        <v>89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1"/>
        <v>:1074900003E305C000E200FBE20F63E3060D01EB</v>
      </c>
      <c r="D26" s="36"/>
      <c r="E26" s="36"/>
      <c r="F26" s="36"/>
      <c r="G26" s="36" t="str" cm="1">
        <f t="array" ref="G26">IntelHexChecksum(RIGHT(C26,40))</f>
        <v>2E</v>
      </c>
      <c r="H26" s="36"/>
      <c r="I26" s="36"/>
      <c r="J26" s="41"/>
      <c r="U26" t="s">
        <v>321</v>
      </c>
      <c r="V26" t="str">
        <f>DEC2HEX(V25+12)</f>
        <v>65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1"/>
        <v>:1074A0000146D0004503405698A953013A80D072</v>
      </c>
      <c r="D27" s="36"/>
      <c r="E27" s="36"/>
      <c r="F27" s="36"/>
      <c r="G27" s="36" t="str" cm="1">
        <f t="array" ref="G27">IntelHexChecksum(RIGHT(C27,40))</f>
        <v>56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1"/>
        <v>:1074B000382D40102C458040846300001E011D80</v>
      </c>
      <c r="D28" s="36"/>
      <c r="E28" s="36"/>
      <c r="F28" s="36"/>
      <c r="G28" s="36" t="str" cm="1">
        <f t="array" ref="G28">IntelHexChecksum(RIGHT(C28,40))</f>
        <v>43</v>
      </c>
      <c r="H28" s="36"/>
      <c r="I28" s="36"/>
      <c r="J28" s="41"/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1"/>
        <v>:1074C00018711C1620582C250040846300009E00</v>
      </c>
      <c r="D29" s="36"/>
      <c r="E29" s="36"/>
      <c r="F29" s="36"/>
      <c r="G29" s="36" t="str" cm="1">
        <f t="array" ref="G29">IntelHexChecksum(RIGHT(C29,40))</f>
        <v>73</v>
      </c>
      <c r="H29" s="36"/>
      <c r="I29" s="36"/>
      <c r="J29" s="41"/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UPPER(_xlfn.CONCAT(":10",RIGHT(B30,4),"00",AK22:AL22,"00FFFFFFFFFFFF00371801000100"))</f>
        <v>:1074D000005400FFFFFFFFFFFF00371801000100</v>
      </c>
      <c r="D30" s="44"/>
      <c r="E30" s="44"/>
      <c r="F30" s="44"/>
      <c r="G30" s="44" t="str" cm="1">
        <f t="array" ref="G30">IntelHexChecksum(RIGHT(C30,40))</f>
        <v>0D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7"/>
      <c r="AI33" s="12"/>
      <c r="AJ33" s="12"/>
      <c r="AK33" s="97"/>
      <c r="AL33" s="97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7"/>
      <c r="X34" s="97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6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7"/>
      <c r="AI39" s="12"/>
      <c r="AJ39" s="12"/>
      <c r="AK39" s="12"/>
      <c r="AL39" s="97"/>
    </row>
    <row r="40" spans="2:55" x14ac:dyDescent="0.3">
      <c r="W40" s="97"/>
      <c r="X40" s="12"/>
      <c r="Y40" s="97"/>
      <c r="Z40" s="95"/>
      <c r="AA40" s="95"/>
      <c r="AB40" s="95"/>
      <c r="AC40" s="95"/>
      <c r="AD40" s="95"/>
      <c r="AE40" s="95"/>
      <c r="AF40" s="12"/>
      <c r="AG40" s="97"/>
      <c r="AH40" s="97"/>
      <c r="AI40" s="97"/>
      <c r="AJ40" s="97"/>
      <c r="AK40" s="95"/>
      <c r="AL40" s="95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6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9" priority="4">
      <formula>$E$7="Not Supported"</formula>
    </cfRule>
  </conditionalFormatting>
  <conditionalFormatting sqref="N7">
    <cfRule type="expression" dxfId="38" priority="3">
      <formula>$P$7="Supported"</formula>
    </cfRule>
  </conditionalFormatting>
  <conditionalFormatting sqref="P7">
    <cfRule type="expression" dxfId="37" priority="2">
      <formula>$N$7="Supported"</formula>
    </cfRule>
  </conditionalFormatting>
  <conditionalFormatting sqref="N7 P7">
    <cfRule type="expression" dxfId="3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88C1140-0B9B-4B3E-8C14-821A86FD0B55}">
      <formula1>$AN$5:$AN$36</formula1>
    </dataValidation>
    <dataValidation type="list" allowBlank="1" showInputMessage="1" showErrorMessage="1" sqref="I7" xr:uid="{5AC79A7B-9760-4288-995F-F1D01E708C4E}">
      <formula1>$AR$5:$AR$9</formula1>
    </dataValidation>
    <dataValidation type="list" allowBlank="1" showInputMessage="1" showErrorMessage="1" sqref="I3" xr:uid="{B0974F47-42D4-4F7E-9BA2-0C993C66B4E3}">
      <formula1>$AU$15:$AU$17</formula1>
    </dataValidation>
    <dataValidation type="list" allowBlank="1" showInputMessage="1" showErrorMessage="1" sqref="L7" xr:uid="{234CBF84-DD8F-42F5-9128-64DDFB84C354}">
      <formula1>$AU$5:$AU$8</formula1>
    </dataValidation>
    <dataValidation type="list" allowBlank="1" showInputMessage="1" showErrorMessage="1" sqref="E7:F7 H7 N7 P7" xr:uid="{2C661ECE-807B-4A41-9615-A5BBC9A89F0D}">
      <formula1>"Supported, Not Supported"</formula1>
    </dataValidation>
    <dataValidation type="list" allowBlank="1" showInputMessage="1" showErrorMessage="1" sqref="G7" xr:uid="{357FC7CE-3CD6-4DB0-855D-496A898479D2}">
      <formula1>$AQ$5:$AQ$36</formula1>
    </dataValidation>
  </dataValidations>
  <hyperlinks>
    <hyperlink ref="V24" r:id="rId1" xr:uid="{7EA54950-DD62-4DF8-9ACF-C660E309EAB4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topLeftCell="G1" zoomScale="90" zoomScaleNormal="90" workbookViewId="0">
      <selection activeCell="AL22" sqref="W7:AL22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58</v>
      </c>
      <c r="K5" s="101"/>
      <c r="L5" s="102"/>
      <c r="M5" s="101" t="str">
        <f>BIN2HEX(_xlfn.CONCAT(M8,N8),2)</f>
        <v>56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518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88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189</v>
      </c>
      <c r="X8" s="60" t="s">
        <v>183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EB0146D0004503585698A953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4E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77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:1073D000008600ffffffffffff004ca302a80101</v>
      </c>
      <c r="D14" s="36"/>
      <c r="E14" s="36"/>
      <c r="F14" s="36"/>
      <c r="G14" s="36" t="str" cm="1">
        <f t="array" ref="G14">IntelHexChecksum(RIGHT(C14,40))</f>
        <v>92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:1073E0000101261a0103800000780ede50a3544c</v>
      </c>
      <c r="D15" s="36"/>
      <c r="E15" s="36"/>
      <c r="F15" s="36"/>
      <c r="G15" s="36" t="str" cm="1">
        <f t="array" ref="G15">IntelHexChecksum(RIGHT(C15,40))</f>
        <v>E0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241</v>
      </c>
      <c r="Z15" s="60" t="s">
        <v>239</v>
      </c>
      <c r="AA15" s="60" t="s">
        <v>195</v>
      </c>
      <c r="AB15" s="60" t="s">
        <v>196</v>
      </c>
      <c r="AC15" s="60" t="s">
        <v>72</v>
      </c>
      <c r="AD15" s="60" t="s">
        <v>102</v>
      </c>
      <c r="AE15" s="60" t="s">
        <v>103</v>
      </c>
      <c r="AF15" s="60" t="s">
        <v>96</v>
      </c>
      <c r="AG15" s="60" t="s">
        <v>100</v>
      </c>
      <c r="AH15" s="60" t="s">
        <v>95</v>
      </c>
      <c r="AI15" s="60" t="s">
        <v>99</v>
      </c>
      <c r="AJ15" s="60" t="s">
        <v>89</v>
      </c>
      <c r="AK15" s="60" t="s">
        <v>88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29</v>
      </c>
      <c r="X16" s="60" t="s">
        <v>97</v>
      </c>
      <c r="Y16" s="60" t="s">
        <v>114</v>
      </c>
      <c r="Z16" s="60" t="s">
        <v>101</v>
      </c>
      <c r="AA16" s="60" t="s">
        <v>107</v>
      </c>
      <c r="AB16" s="60" t="s">
        <v>78</v>
      </c>
      <c r="AC16" s="60" t="s">
        <v>197</v>
      </c>
      <c r="AD16" s="60" t="s">
        <v>70</v>
      </c>
      <c r="AE16" s="60" t="s">
        <v>198</v>
      </c>
      <c r="AF16" s="60" t="s">
        <v>6</v>
      </c>
      <c r="AG16" s="60" t="s">
        <v>74</v>
      </c>
      <c r="AH16" s="60" t="s">
        <v>184</v>
      </c>
      <c r="AI16" s="60" t="s">
        <v>77</v>
      </c>
      <c r="AJ16" s="60" t="s">
        <v>149</v>
      </c>
      <c r="AK16" s="60" t="s">
        <v>199</v>
      </c>
      <c r="AL16" s="60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60" t="s">
        <v>83</v>
      </c>
      <c r="X17" s="60" t="s">
        <v>7</v>
      </c>
      <c r="Y17" s="60" t="s">
        <v>125</v>
      </c>
      <c r="Z17" s="60" t="s">
        <v>7</v>
      </c>
      <c r="AA17" s="60" t="s">
        <v>200</v>
      </c>
      <c r="AB17" s="60" t="s">
        <v>84</v>
      </c>
      <c r="AC17" s="60" t="s">
        <v>120</v>
      </c>
      <c r="AD17" s="60" t="s">
        <v>201</v>
      </c>
      <c r="AE17" s="60" t="s">
        <v>127</v>
      </c>
      <c r="AF17" s="60" t="s">
        <v>187</v>
      </c>
      <c r="AG17" s="60" t="s">
        <v>127</v>
      </c>
      <c r="AH17" s="60" t="s">
        <v>81</v>
      </c>
      <c r="AI17" s="60" t="s">
        <v>193</v>
      </c>
      <c r="AJ17" s="60" t="s">
        <v>6</v>
      </c>
      <c r="AK17" s="60" t="s">
        <v>88</v>
      </c>
      <c r="AL17" s="60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95</v>
      </c>
      <c r="X18" s="60" t="s">
        <v>6</v>
      </c>
      <c r="Y18" s="60" t="s">
        <v>7</v>
      </c>
      <c r="Z18" s="60" t="s">
        <v>7</v>
      </c>
      <c r="AA18" s="60" t="s">
        <v>202</v>
      </c>
      <c r="AB18" s="60" t="s">
        <v>80</v>
      </c>
      <c r="AC18" s="60" t="s">
        <v>96</v>
      </c>
      <c r="AD18" s="60" t="s">
        <v>81</v>
      </c>
      <c r="AE18" s="60" t="s">
        <v>7</v>
      </c>
      <c r="AF18" s="60" t="s">
        <v>85</v>
      </c>
      <c r="AG18" s="60" t="s">
        <v>7</v>
      </c>
      <c r="AH18" s="60" t="s">
        <v>203</v>
      </c>
      <c r="AI18" s="60" t="s">
        <v>204</v>
      </c>
      <c r="AJ18" s="60" t="s">
        <v>184</v>
      </c>
      <c r="AK18" s="60" t="s">
        <v>92</v>
      </c>
      <c r="AL18" s="60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93</v>
      </c>
      <c r="X19" s="60" t="s">
        <v>94</v>
      </c>
      <c r="Y19" s="60" t="s">
        <v>80</v>
      </c>
      <c r="Z19" s="60" t="s">
        <v>114</v>
      </c>
      <c r="AA19" s="60" t="s">
        <v>96</v>
      </c>
      <c r="AB19" s="60" t="s">
        <v>6</v>
      </c>
      <c r="AC19" s="91" t="s">
        <v>205</v>
      </c>
      <c r="AD19" s="91" t="s">
        <v>6</v>
      </c>
      <c r="AE19" s="91" t="s">
        <v>180</v>
      </c>
      <c r="AF19" s="91" t="s">
        <v>118</v>
      </c>
      <c r="AG19" s="91" t="s">
        <v>7</v>
      </c>
      <c r="AH19" s="62" t="str">
        <f>C5</f>
        <v>45</v>
      </c>
      <c r="AI19" s="62" t="str">
        <f>G5</f>
        <v>03</v>
      </c>
      <c r="AJ19" s="62" t="str">
        <f>J5</f>
        <v>58</v>
      </c>
      <c r="AK19" s="62" t="str">
        <f>M5</f>
        <v>56</v>
      </c>
      <c r="AL19" s="62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62" t="str">
        <f>Q5</f>
        <v>A9</v>
      </c>
      <c r="X20" s="62" t="str">
        <f>S5</f>
        <v>53</v>
      </c>
      <c r="Y20" s="60" t="s">
        <v>7</v>
      </c>
      <c r="Z20" s="60" t="s">
        <v>7</v>
      </c>
      <c r="AA20" s="60" t="s">
        <v>7</v>
      </c>
      <c r="AB20" s="60" t="s">
        <v>7</v>
      </c>
      <c r="AC20" s="60" t="s">
        <v>7</v>
      </c>
      <c r="AD20" s="60" t="s">
        <v>7</v>
      </c>
      <c r="AE20" s="60" t="s">
        <v>7</v>
      </c>
      <c r="AF20" s="60" t="s">
        <v>7</v>
      </c>
      <c r="AG20" s="60" t="s">
        <v>7</v>
      </c>
      <c r="AH20" s="60" t="s">
        <v>7</v>
      </c>
      <c r="AI20" s="60" t="s">
        <v>7</v>
      </c>
      <c r="AJ20" s="60" t="s">
        <v>7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:1074500001ab020352b259901f20220514041303</v>
      </c>
      <c r="D22" s="36"/>
      <c r="E22" s="36"/>
      <c r="F22" s="36"/>
      <c r="G22" s="36" t="str" cm="1">
        <f t="array" ref="G22">IntelHexChecksum(RIGHT(C22,40))</f>
        <v>FA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:1074700076030c002100b83ce07aff4affc08401</v>
      </c>
      <c r="D24" s="36"/>
      <c r="E24" s="36"/>
      <c r="F24" s="36"/>
      <c r="G24" s="36" t="str" cm="1">
        <f t="array" ref="G24">IntelHexChecksum(RIGHT(C24,40))</f>
        <v>8B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:1074900060616566e3060501eb0146d000450358</v>
      </c>
      <c r="D26" s="36"/>
      <c r="E26" s="36"/>
      <c r="F26" s="36"/>
      <c r="G26" s="36" t="str" cm="1">
        <f t="array" ref="G26">IntelHexChecksum(RIGHT(C26,40))</f>
        <v>CF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58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:1074D000007600FFFFFFFFFFFF00371801000100</v>
      </c>
      <c r="D30" s="44"/>
      <c r="E30" s="44"/>
      <c r="F30" s="44"/>
      <c r="G30" s="44" t="str" cm="1">
        <f t="array" ref="G30">IntelHexChecksum(RIGHT(C30,40))</f>
        <v>EB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5" priority="4">
      <formula>$E$7="Not Supported"</formula>
    </cfRule>
  </conditionalFormatting>
  <conditionalFormatting sqref="N7">
    <cfRule type="expression" dxfId="34" priority="3">
      <formula>$P$7="Supported"</formula>
    </cfRule>
  </conditionalFormatting>
  <conditionalFormatting sqref="P7">
    <cfRule type="expression" dxfId="33" priority="2">
      <formula>$N$7="Supported"</formula>
    </cfRule>
  </conditionalFormatting>
  <conditionalFormatting sqref="N7 P7">
    <cfRule type="expression" dxfId="3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  <dataValidation type="list" allowBlank="1" showInputMessage="1" showErrorMessage="1" sqref="G7" xr:uid="{E408C788-1B8C-4162-9363-1B99366FD45B}">
      <formula1>$AQ$5:$AQ$36</formula1>
    </dataValidation>
  </dataValidations>
  <hyperlinks>
    <hyperlink ref="V24" r:id="rId1" xr:uid="{5E2D3D93-B5E5-4FC1-B14B-49EE706F278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topLeftCell="D1" zoomScale="90" zoomScaleNormal="90" workbookViewId="0">
      <selection activeCell="W7" sqref="W7:AL22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07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206</v>
      </c>
      <c r="Y7" s="60" t="s">
        <v>206</v>
      </c>
      <c r="Z7" s="60" t="s">
        <v>206</v>
      </c>
      <c r="AA7" s="60" t="s">
        <v>206</v>
      </c>
      <c r="AB7" s="60" t="s">
        <v>206</v>
      </c>
      <c r="AC7" s="60" t="s">
        <v>206</v>
      </c>
      <c r="AD7" s="60" t="s">
        <v>7</v>
      </c>
      <c r="AE7" s="60" t="s">
        <v>128</v>
      </c>
      <c r="AF7" s="60" t="s">
        <v>207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250</v>
      </c>
      <c r="X8" s="60" t="s">
        <v>225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208</v>
      </c>
      <c r="AF8" s="60" t="s">
        <v>209</v>
      </c>
      <c r="AG8" s="60" t="s">
        <v>134</v>
      </c>
      <c r="AH8" s="60" t="s">
        <v>207</v>
      </c>
      <c r="AI8" s="60" t="s">
        <v>108</v>
      </c>
      <c r="AJ8" s="60" t="s">
        <v>210</v>
      </c>
      <c r="AK8" s="60" t="s">
        <v>211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210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212</v>
      </c>
      <c r="AE10" s="60" t="s">
        <v>7</v>
      </c>
      <c r="AF10" s="60" t="s">
        <v>145</v>
      </c>
      <c r="AG10" s="60" t="s">
        <v>213</v>
      </c>
      <c r="AH10" s="60" t="s">
        <v>146</v>
      </c>
      <c r="AI10" s="60" t="s">
        <v>214</v>
      </c>
      <c r="AJ10" s="60" t="s">
        <v>112</v>
      </c>
      <c r="AK10" s="60" t="s">
        <v>211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254</v>
      </c>
      <c r="J11" s="40"/>
      <c r="V11" s="60"/>
      <c r="W11" s="60" t="s">
        <v>215</v>
      </c>
      <c r="X11" s="60" t="s">
        <v>7</v>
      </c>
      <c r="Y11" s="60" t="s">
        <v>235</v>
      </c>
      <c r="Z11" s="60" t="s">
        <v>238</v>
      </c>
      <c r="AA11" s="60" t="s">
        <v>125</v>
      </c>
      <c r="AB11" s="60" t="s">
        <v>7</v>
      </c>
      <c r="AC11" s="60" t="s">
        <v>7</v>
      </c>
      <c r="AD11" s="60" t="s">
        <v>216</v>
      </c>
      <c r="AE11" s="60" t="s">
        <v>88</v>
      </c>
      <c r="AF11" s="60" t="s">
        <v>217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218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EB0146D0004507495798A953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219</v>
      </c>
      <c r="Y12" s="60" t="s">
        <v>142</v>
      </c>
      <c r="Z12" s="60" t="s">
        <v>7</v>
      </c>
      <c r="AA12" s="60" t="s">
        <v>235</v>
      </c>
      <c r="AB12" s="60" t="s">
        <v>238</v>
      </c>
      <c r="AC12" s="60" t="s">
        <v>125</v>
      </c>
      <c r="AD12" s="60" t="s">
        <v>7</v>
      </c>
      <c r="AE12" s="60" t="s">
        <v>7</v>
      </c>
      <c r="AF12" s="60" t="s">
        <v>216</v>
      </c>
      <c r="AG12" s="60" t="s">
        <v>7</v>
      </c>
      <c r="AH12" s="60" t="s">
        <v>7</v>
      </c>
      <c r="AI12" s="60" t="s">
        <v>7</v>
      </c>
      <c r="AJ12" s="60" t="s">
        <v>220</v>
      </c>
      <c r="AK12" s="60" t="s">
        <v>7</v>
      </c>
      <c r="AL12" s="60" t="s">
        <v>251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132</v>
      </c>
      <c r="X13" s="60" t="s">
        <v>218</v>
      </c>
      <c r="Y13" s="60" t="s">
        <v>90</v>
      </c>
      <c r="Z13" s="60" t="s">
        <v>106</v>
      </c>
      <c r="AA13" s="60" t="s">
        <v>145</v>
      </c>
      <c r="AB13" s="60" t="s">
        <v>145</v>
      </c>
      <c r="AC13" s="60" t="s">
        <v>157</v>
      </c>
      <c r="AD13" s="60" t="s">
        <v>208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242</v>
      </c>
      <c r="Y14" s="60" t="s">
        <v>180</v>
      </c>
      <c r="Z14" s="60" t="s">
        <v>225</v>
      </c>
      <c r="AA14" s="60" t="s">
        <v>236</v>
      </c>
      <c r="AB14" s="60" t="s">
        <v>223</v>
      </c>
      <c r="AC14" s="60" t="s">
        <v>7</v>
      </c>
      <c r="AD14" s="60" t="s">
        <v>208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252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:1073E0000000171F0103807341780ACF74A3574C</v>
      </c>
      <c r="D15" s="36"/>
      <c r="E15" s="36"/>
      <c r="F15" s="36"/>
      <c r="G15" s="36" t="str" cm="1">
        <f t="array" ref="G15">IntelHexChecksum(RIGHT(C15,40))</f>
        <v>24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146</v>
      </c>
      <c r="Z15" s="60" t="s">
        <v>243</v>
      </c>
      <c r="AA15" s="60" t="s">
        <v>244</v>
      </c>
      <c r="AB15" s="60" t="s">
        <v>6</v>
      </c>
      <c r="AC15" s="60" t="s">
        <v>88</v>
      </c>
      <c r="AD15" s="60" t="s">
        <v>89</v>
      </c>
      <c r="AE15" s="60" t="s">
        <v>95</v>
      </c>
      <c r="AF15" s="60" t="s">
        <v>96</v>
      </c>
      <c r="AG15" s="60" t="s">
        <v>97</v>
      </c>
      <c r="AH15" s="60" t="s">
        <v>196</v>
      </c>
      <c r="AI15" s="60" t="s">
        <v>98</v>
      </c>
      <c r="AJ15" s="60" t="s">
        <v>99</v>
      </c>
      <c r="AK15" s="60" t="s">
        <v>100</v>
      </c>
      <c r="AL15" s="60" t="s">
        <v>101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:1073F000B02309484C0000000101010101010101</v>
      </c>
      <c r="D16" s="36"/>
      <c r="E16" s="36"/>
      <c r="F16" s="36"/>
      <c r="G16" s="36" t="str" cm="1">
        <f t="array" ref="G16">IntelHexChecksum(RIGHT(C16,40))</f>
        <v>15</v>
      </c>
      <c r="H16" s="36"/>
      <c r="I16" s="36"/>
      <c r="J16" s="41"/>
      <c r="V16" s="60"/>
      <c r="W16" s="60" t="s">
        <v>225</v>
      </c>
      <c r="X16" s="60" t="s">
        <v>102</v>
      </c>
      <c r="Y16" s="60" t="s">
        <v>125</v>
      </c>
      <c r="Z16" s="60" t="s">
        <v>103</v>
      </c>
      <c r="AA16" s="60" t="s">
        <v>223</v>
      </c>
      <c r="AB16" s="60" t="s">
        <v>227</v>
      </c>
      <c r="AC16" s="60" t="s">
        <v>237</v>
      </c>
      <c r="AD16" s="60" t="s">
        <v>224</v>
      </c>
      <c r="AE16" s="60" t="s">
        <v>245</v>
      </c>
      <c r="AF16" s="60" t="s">
        <v>228</v>
      </c>
      <c r="AG16" s="60" t="s">
        <v>92</v>
      </c>
      <c r="AH16" s="60" t="s">
        <v>91</v>
      </c>
      <c r="AI16" s="60" t="s">
        <v>198</v>
      </c>
      <c r="AJ16" s="60" t="s">
        <v>194</v>
      </c>
      <c r="AK16" s="60" t="s">
        <v>253</v>
      </c>
      <c r="AL16" s="60" t="s">
        <v>93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94</v>
      </c>
      <c r="X17" s="60" t="s">
        <v>246</v>
      </c>
      <c r="Y17" s="60" t="s">
        <v>138</v>
      </c>
      <c r="Z17" s="60" t="s">
        <v>226</v>
      </c>
      <c r="AA17" s="60" t="s">
        <v>97</v>
      </c>
      <c r="AB17" s="60" t="s">
        <v>107</v>
      </c>
      <c r="AC17" s="60" t="s">
        <v>97</v>
      </c>
      <c r="AD17" s="60" t="s">
        <v>106</v>
      </c>
      <c r="AE17" s="60" t="s">
        <v>108</v>
      </c>
      <c r="AF17" s="60" t="s">
        <v>114</v>
      </c>
      <c r="AG17" s="60" t="s">
        <v>7</v>
      </c>
      <c r="AH17" s="60" t="s">
        <v>227</v>
      </c>
      <c r="AI17" s="60" t="s">
        <v>97</v>
      </c>
      <c r="AJ17" s="60" t="s">
        <v>231</v>
      </c>
      <c r="AK17" s="60" t="s">
        <v>228</v>
      </c>
      <c r="AL17" s="60" t="s">
        <v>229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6</v>
      </c>
      <c r="X18" s="60" t="s">
        <v>110</v>
      </c>
      <c r="Y18" s="60" t="s">
        <v>6</v>
      </c>
      <c r="Z18" s="60" t="s">
        <v>7</v>
      </c>
      <c r="AA18" s="60" t="s">
        <v>7</v>
      </c>
      <c r="AB18" s="60" t="s">
        <v>233</v>
      </c>
      <c r="AC18" s="60" t="s">
        <v>7</v>
      </c>
      <c r="AD18" s="60" t="s">
        <v>206</v>
      </c>
      <c r="AE18" s="60" t="s">
        <v>240</v>
      </c>
      <c r="AF18" s="60" t="s">
        <v>89</v>
      </c>
      <c r="AG18" s="60" t="s">
        <v>232</v>
      </c>
      <c r="AH18" s="60" t="s">
        <v>7</v>
      </c>
      <c r="AI18" s="60" t="s">
        <v>28</v>
      </c>
      <c r="AJ18" s="60" t="s">
        <v>7</v>
      </c>
      <c r="AK18" s="60" t="s">
        <v>113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102</v>
      </c>
      <c r="X19" s="60" t="s">
        <v>231</v>
      </c>
      <c r="Y19" s="60" t="s">
        <v>193</v>
      </c>
      <c r="Z19" s="60" t="s">
        <v>6</v>
      </c>
      <c r="AA19" s="60" t="s">
        <v>88</v>
      </c>
      <c r="AB19" s="60" t="s">
        <v>89</v>
      </c>
      <c r="AC19" s="60" t="s">
        <v>95</v>
      </c>
      <c r="AD19" s="60" t="s">
        <v>6</v>
      </c>
      <c r="AE19" s="60" t="s">
        <v>155</v>
      </c>
      <c r="AF19" s="60" t="s">
        <v>7</v>
      </c>
      <c r="AG19" s="60" t="s">
        <v>7</v>
      </c>
      <c r="AH19" s="60" t="s">
        <v>109</v>
      </c>
      <c r="AI19" s="60" t="s">
        <v>234</v>
      </c>
      <c r="AJ19" s="60" t="s">
        <v>224</v>
      </c>
      <c r="AK19" s="60" t="s">
        <v>235</v>
      </c>
      <c r="AL19" s="60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:107430000056412D53503030330A202020200000</v>
      </c>
      <c r="D20" s="36"/>
      <c r="E20" s="36"/>
      <c r="F20" s="36"/>
      <c r="G20" s="36" t="str" cm="1">
        <f t="array" ref="G20">IntelHexChecksum(RIGHT(C20,40))</f>
        <v>C8</v>
      </c>
      <c r="H20" s="36"/>
      <c r="I20" s="36"/>
      <c r="J20" s="41"/>
      <c r="V20" s="60"/>
      <c r="W20" s="60" t="s">
        <v>113</v>
      </c>
      <c r="X20" s="60" t="s">
        <v>112</v>
      </c>
      <c r="Y20" s="60" t="s">
        <v>97</v>
      </c>
      <c r="Z20" s="60" t="s">
        <v>230</v>
      </c>
      <c r="AA20" s="60" t="s">
        <v>96</v>
      </c>
      <c r="AB20" s="60" t="s">
        <v>247</v>
      </c>
      <c r="AC20" s="60" t="s">
        <v>6</v>
      </c>
      <c r="AD20" s="60" t="s">
        <v>248</v>
      </c>
      <c r="AE20" s="60" t="s">
        <v>222</v>
      </c>
      <c r="AF20" s="60" t="s">
        <v>7</v>
      </c>
      <c r="AG20" s="60" t="s">
        <v>7</v>
      </c>
      <c r="AH20" s="60" t="s">
        <v>92</v>
      </c>
      <c r="AI20" s="60" t="s">
        <v>7</v>
      </c>
      <c r="AJ20" s="60" t="s">
        <v>249</v>
      </c>
      <c r="AK20" s="60" t="s">
        <v>114</v>
      </c>
      <c r="AL20" s="60" t="s">
        <v>222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6</v>
      </c>
      <c r="X21" s="60" t="s">
        <v>7</v>
      </c>
      <c r="Y21" s="60" t="s">
        <v>7</v>
      </c>
      <c r="Z21" s="60" t="s">
        <v>7</v>
      </c>
      <c r="AA21" s="91" t="s">
        <v>179</v>
      </c>
      <c r="AB21" s="91" t="s">
        <v>6</v>
      </c>
      <c r="AC21" s="91" t="s">
        <v>180</v>
      </c>
      <c r="AD21" s="91" t="s">
        <v>181</v>
      </c>
      <c r="AE21" s="91" t="s">
        <v>7</v>
      </c>
      <c r="AF21" s="62" t="str">
        <f>C5</f>
        <v>45</v>
      </c>
      <c r="AG21" s="62" t="str">
        <f>G5</f>
        <v>07</v>
      </c>
      <c r="AH21" s="62" t="str">
        <f>J5</f>
        <v>49</v>
      </c>
      <c r="AI21" s="62" t="str">
        <f>M5</f>
        <v>57</v>
      </c>
      <c r="AJ21" s="62" t="str">
        <f>O5</f>
        <v>98</v>
      </c>
      <c r="AK21" s="62" t="str">
        <f>Q5</f>
        <v>A9</v>
      </c>
      <c r="AL21" s="62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:107450000147020370F15C010203040507901213</v>
      </c>
      <c r="D22" s="36"/>
      <c r="E22" s="36"/>
      <c r="F22" s="36"/>
      <c r="G22" s="36" t="str" cm="1">
        <f t="array" ref="G22">IntelHexChecksum(RIGHT(C22,40))</f>
        <v>57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252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:1074600014161F2021223C3D3E5D5E5F60616263</v>
      </c>
      <c r="D23" s="36"/>
      <c r="E23" s="36"/>
      <c r="F23" s="36"/>
      <c r="G23" s="36" t="str" cm="1">
        <f t="array" ref="G23">IntelHexChecksum(RIGHT(C23,40))</f>
        <v>19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:107470006465662F097F071507505706003D07C0</v>
      </c>
      <c r="D24" s="36"/>
      <c r="E24" s="36"/>
      <c r="F24" s="36"/>
      <c r="G24" s="36" t="str" cm="1">
        <f t="array" ref="G24">IntelHexChecksum(RIGHT(C24,40))</f>
        <v>52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:107480005F7E0183010000E200FF72030C001000</v>
      </c>
      <c r="D25" s="36"/>
      <c r="E25" s="36"/>
      <c r="F25" s="36"/>
      <c r="G25" s="36" t="str" cm="1">
        <f t="array" ref="G25">IntelHexChecksum(RIGHT(C25,40))</f>
        <v>28</v>
      </c>
      <c r="H25" s="36"/>
      <c r="I25" s="36"/>
      <c r="J25" s="41"/>
      <c r="U25" t="s">
        <v>320</v>
      </c>
      <c r="V25" s="12">
        <f>HEX2DEC(Y13)</f>
        <v>83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:10749000787820C084010203040143000067D85D</v>
      </c>
      <c r="D26" s="36"/>
      <c r="E26" s="36"/>
      <c r="F26" s="36"/>
      <c r="G26" s="36" t="str" cm="1">
        <f t="array" ref="G26">IntelHexChecksum(RIGHT(C26,40))</f>
        <v>AE</v>
      </c>
      <c r="H26" s="36"/>
      <c r="I26" s="36"/>
      <c r="J26" s="41"/>
      <c r="U26" t="s">
        <v>321</v>
      </c>
      <c r="V26" t="str">
        <f>DEC2HEX(V25+12)</f>
        <v>5F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:1074A000C401788007E305DF01E50F00006000E6</v>
      </c>
      <c r="D27" s="36"/>
      <c r="E27" s="36"/>
      <c r="F27" s="36"/>
      <c r="G27" s="36" t="str" cm="1">
        <f t="array" ref="G27">IntelHexChecksum(RIGHT(C27,40))</f>
        <v>16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07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:1074B000060F01000000EB0146D0004507495798</v>
      </c>
      <c r="D28" s="36"/>
      <c r="E28" s="36"/>
      <c r="F28" s="36"/>
      <c r="G28" s="36" t="str" cm="1">
        <f t="array" ref="G28">IntelHexChecksum(RIGHT(C28,40))</f>
        <v>30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:1074C000A9530000000000000000000000000000</v>
      </c>
      <c r="D29" s="36"/>
      <c r="E29" s="36"/>
      <c r="F29" s="36"/>
      <c r="G29" s="36" t="str" cm="1">
        <f t="array" ref="G29">IntelHexChecksum(RIGHT(C29,40))</f>
        <v>C0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:1074D000004700FFFFFFFFFFFF00371801000100</v>
      </c>
      <c r="D30" s="44"/>
      <c r="E30" s="44"/>
      <c r="F30" s="44"/>
      <c r="G30" s="44" t="str" cm="1">
        <f t="array" ref="G30">IntelHexChecksum(RIGHT(C30,40))</f>
        <v>1A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4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4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4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4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4" x14ac:dyDescent="0.3">
      <c r="B37" s="1"/>
      <c r="C37" s="88"/>
    </row>
    <row r="38" spans="2:54" x14ac:dyDescent="0.3">
      <c r="B38" s="1"/>
      <c r="C38" s="88"/>
    </row>
    <row r="39" spans="2:54" x14ac:dyDescent="0.3">
      <c r="B39" s="1"/>
      <c r="C39" s="88"/>
    </row>
    <row r="40" spans="2:54" x14ac:dyDescent="0.3"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</row>
    <row r="41" spans="2:54" x14ac:dyDescent="0.3"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</row>
    <row r="42" spans="2:54" x14ac:dyDescent="0.3"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</row>
    <row r="43" spans="2:54" x14ac:dyDescent="0.3"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</row>
    <row r="44" spans="2:54" x14ac:dyDescent="0.3"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</row>
    <row r="45" spans="2:54" x14ac:dyDescent="0.3"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</row>
    <row r="46" spans="2:54" x14ac:dyDescent="0.3"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</row>
    <row r="47" spans="2:54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</row>
    <row r="48" spans="2:54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1" priority="4">
      <formula>$E$7="Not Supported"</formula>
    </cfRule>
  </conditionalFormatting>
  <conditionalFormatting sqref="N7">
    <cfRule type="expression" dxfId="30" priority="3">
      <formula>$P$7="Supported"</formula>
    </cfRule>
  </conditionalFormatting>
  <conditionalFormatting sqref="P7">
    <cfRule type="expression" dxfId="29" priority="2">
      <formula>$N$7="Supported"</formula>
    </cfRule>
  </conditionalFormatting>
  <conditionalFormatting sqref="N7 P7">
    <cfRule type="expression" dxfId="28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  <dataValidation type="list" allowBlank="1" showInputMessage="1" showErrorMessage="1" sqref="G7" xr:uid="{60FA8F33-3ED0-46FE-BEBD-AC1CE83C52E4}">
      <formula1>$AQ$5:$AQ$36</formula1>
    </dataValidation>
  </dataValidations>
  <hyperlinks>
    <hyperlink ref="V24" r:id="rId1" xr:uid="{0184FD24-2D76-44A7-A946-74569EFB659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W7" sqref="W7:AL22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07</v>
      </c>
      <c r="H5" s="101"/>
      <c r="I5" s="102"/>
      <c r="J5" s="105" t="str">
        <f>DEC2HEX(_xlfn.BITLSHIFT(BIN2DEC(J8),3)+_xlfn.BITLSHIFT(BIN2DEC(K8),1)+BIN2DEC(L8),2)</f>
        <v>40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327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EB0146D0004707405798A953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5F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326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07</v>
      </c>
      <c r="X21" s="62" t="str">
        <f>J5</f>
        <v>40</v>
      </c>
      <c r="Y21" s="62" t="str">
        <f>M5</f>
        <v>57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287</v>
      </c>
      <c r="AD21" s="60" t="s">
        <v>29</v>
      </c>
      <c r="AE21" s="60" t="s">
        <v>180</v>
      </c>
      <c r="AF21" s="60" t="s">
        <v>118</v>
      </c>
      <c r="AG21" s="60" t="s">
        <v>7</v>
      </c>
      <c r="AH21" s="60" t="s">
        <v>146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:10745000010702036Cf055616066655f5e5d6210</v>
      </c>
      <c r="D22" s="36"/>
      <c r="E22" s="36"/>
      <c r="F22" s="36"/>
      <c r="G22" s="36" t="str" cm="1">
        <f t="array" ref="G22">IntelHexChecksum(RIGHT(C22,40))</f>
        <v>56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07</v>
      </c>
      <c r="AC27" t="str">
        <f>$J$5</f>
        <v>40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:1074B000004707405798A953e61146d000700000</v>
      </c>
      <c r="D28" s="36"/>
      <c r="E28" s="36"/>
      <c r="F28" s="36"/>
      <c r="G28" s="36" t="str" cm="1">
        <f t="array" ref="G28">IntelHexChecksum(RIGHT(C28,40))</f>
        <v>D6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  <dataValidation type="list" allowBlank="1" showInputMessage="1" showErrorMessage="1" sqref="G7" xr:uid="{F5C10CD7-76A2-4FC4-8161-37D8DE314616}">
      <formula1>$AQ$5:$AQ$36</formula1>
    </dataValidation>
  </dataValidations>
  <hyperlinks>
    <hyperlink ref="V24" r:id="rId1" xr:uid="{F8E1AC84-719F-4096-A6DE-9ADEC91B4D9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D247F-D78B-4B73-B296-079B16949418}">
  <sheetPr codeName="Sheet19"/>
  <dimension ref="B2:BC54"/>
  <sheetViews>
    <sheetView tabSelected="1" zoomScale="90" zoomScaleNormal="90" workbookViewId="0">
      <selection activeCell="F35" sqref="F35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3.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335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A1</v>
      </c>
      <c r="N5" s="102"/>
      <c r="O5" s="101" t="str">
        <f>BIN2HEX(_xlfn.CONCAT(O8,P8),2)</f>
        <v>58</v>
      </c>
      <c r="P5" s="102"/>
      <c r="Q5" s="101" t="str">
        <f>BIN2HEX(_xlfn.CONCAT(Q8,R8),2)</f>
        <v>55</v>
      </c>
      <c r="R5" s="102"/>
      <c r="S5" s="101" t="str">
        <f>BIN2HEX(_xlfn.CONCAT(S8,T8),2)</f>
        <v>A2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336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EB0146D000450348A15855A2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326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335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45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03</v>
      </c>
      <c r="X21" s="62" t="str">
        <f>J5</f>
        <v>48</v>
      </c>
      <c r="Y21" s="62" t="str">
        <f>M5</f>
        <v>A1</v>
      </c>
      <c r="Z21" s="62" t="str">
        <f>O5</f>
        <v>58</v>
      </c>
      <c r="AA21" s="62" t="str">
        <f>Q5</f>
        <v>55</v>
      </c>
      <c r="AB21" s="62" t="str">
        <f>S5</f>
        <v>A2</v>
      </c>
      <c r="AC21" s="60" t="s">
        <v>287</v>
      </c>
      <c r="AD21" s="60" t="s">
        <v>29</v>
      </c>
      <c r="AE21" s="60" t="s">
        <v>180</v>
      </c>
      <c r="AF21" s="60" t="s">
        <v>118</v>
      </c>
      <c r="AG21" s="60" t="s">
        <v>7</v>
      </c>
      <c r="AH21" s="60" t="s">
        <v>146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:10745000010702036Cf055616066655f5e5d6210</v>
      </c>
      <c r="D22" s="36"/>
      <c r="E22" s="36"/>
      <c r="F22" s="36"/>
      <c r="G22" s="36" t="str" cm="1">
        <f t="array" ref="G22">IntelHexChecksum(RIGHT(C22,40))</f>
        <v>56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48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:1074B00000450348A15855A2e61146d000700000</v>
      </c>
      <c r="D28" s="36"/>
      <c r="E28" s="36"/>
      <c r="F28" s="36"/>
      <c r="G28" s="36" t="str" cm="1">
        <f t="array" ref="G28">IntelHexChecksum(RIGHT(C28,40))</f>
        <v>CF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8B2228DE-4AC5-4244-AA36-7DBBC40CDD40}">
      <formula1>$AQ$5:$AQ$36</formula1>
    </dataValidation>
    <dataValidation type="list" allowBlank="1" showInputMessage="1" showErrorMessage="1" sqref="J7" xr:uid="{DE9DADA7-2880-4373-9CAD-ACF79AC064F6}">
      <formula1>$AN$5:$AN$36</formula1>
    </dataValidation>
    <dataValidation type="list" allowBlank="1" showInputMessage="1" showErrorMessage="1" sqref="I7" xr:uid="{4AD608D4-9311-4CEA-BDFA-F37152A53050}">
      <formula1>$AR$5:$AR$9</formula1>
    </dataValidation>
    <dataValidation type="list" allowBlank="1" showInputMessage="1" showErrorMessage="1" sqref="I3" xr:uid="{3C32103F-C6BC-4BAB-83E4-58AD0922BC55}">
      <formula1>$AU$15:$AU$18</formula1>
    </dataValidation>
    <dataValidation type="list" allowBlank="1" showInputMessage="1" showErrorMessage="1" sqref="L7" xr:uid="{FE92F76E-BADE-470A-9724-30EEC8296BC7}">
      <formula1>$AU$5:$AU$8</formula1>
    </dataValidation>
    <dataValidation type="list" allowBlank="1" showInputMessage="1" showErrorMessage="1" sqref="E7:F7 H7 N7 P7" xr:uid="{B2F817FE-711A-497B-B0D0-F2C23C361A5A}">
      <formula1>"Supported, Not Supported"</formula1>
    </dataValidation>
  </dataValidations>
  <hyperlinks>
    <hyperlink ref="V24" r:id="rId1" xr:uid="{81E09ECB-4FF1-4FBF-A8BB-34624AF61A5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topLeftCell="C1" zoomScale="90" zoomScaleNormal="90" workbookViewId="0">
      <selection activeCell="W7" sqref="W7:AL22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04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22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84</v>
      </c>
      <c r="AH7" s="60" t="s">
        <v>95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00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267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G9" t="s">
        <v>290</v>
      </c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263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EB0146D0004704495798A953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59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:1073D000008600ffffffffffff0029633c040101</v>
      </c>
      <c r="D14" s="36"/>
      <c r="E14" s="36"/>
      <c r="F14" s="36"/>
      <c r="G14" s="36" t="str" cm="1">
        <f t="array" ref="G14">IntelHexChecksum(RIGHT(C14,40))</f>
        <v>5F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118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:1073E00001010019010380dd7d782b6be9ab544c</v>
      </c>
      <c r="D15" s="36"/>
      <c r="E15" s="36"/>
      <c r="F15" s="36"/>
      <c r="G15" s="36" t="str" cm="1">
        <f t="array" ref="G15">IntelHexChecksum(RIGHT(C15,40))</f>
        <v>62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157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28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47</v>
      </c>
      <c r="AE20" s="62" t="str">
        <f>G5</f>
        <v>04</v>
      </c>
      <c r="AF20" s="62" t="str">
        <f>J5</f>
        <v>49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6</v>
      </c>
      <c r="AL20" s="60" t="s">
        <v>149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240</v>
      </c>
      <c r="Y21" s="60" t="s">
        <v>274</v>
      </c>
      <c r="Z21" s="60" t="s">
        <v>118</v>
      </c>
      <c r="AA21" s="60" t="s">
        <v>77</v>
      </c>
      <c r="AB21" s="60" t="s">
        <v>102</v>
      </c>
      <c r="AC21" s="60" t="s">
        <v>82</v>
      </c>
      <c r="AD21" s="60" t="s">
        <v>288</v>
      </c>
      <c r="AE21" s="60" t="s">
        <v>190</v>
      </c>
      <c r="AF21" s="60" t="s">
        <v>7</v>
      </c>
      <c r="AG21" s="60" t="s">
        <v>273</v>
      </c>
      <c r="AH21" s="60" t="s">
        <v>85</v>
      </c>
      <c r="AI21" s="60" t="s">
        <v>193</v>
      </c>
      <c r="AJ21" s="60" t="s">
        <v>7</v>
      </c>
      <c r="AK21" s="60" t="s">
        <v>7</v>
      </c>
      <c r="AL21" s="60" t="s">
        <v>77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:1074500001d002035e3355909f85942004131112</v>
      </c>
      <c r="D22" s="36"/>
      <c r="E22" s="36"/>
      <c r="F22" s="36"/>
      <c r="G22" s="36" t="str" cm="1">
        <f t="array" ref="G22">IntelHexChecksum(RIGHT(C22,40))</f>
        <v>CE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:107470001000383ce041ff41ff808a0102030408</v>
      </c>
      <c r="D24" s="36"/>
      <c r="E24" s="36"/>
      <c r="F24" s="36"/>
      <c r="G24" s="36" t="str" cm="1">
        <f t="array" ref="G24">IntelHexChecksum(RIGHT(C24,40))</f>
        <v>0C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HEX2DEC(Y13)</f>
        <v>70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321</v>
      </c>
      <c r="V26" t="str">
        <f>DEC2HEX(V25+12)</f>
        <v>52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:1074A00001000000eb0146d0004704495798A953</v>
      </c>
      <c r="D27" s="36"/>
      <c r="E27" s="36"/>
      <c r="F27" s="36"/>
      <c r="G27" s="36" t="str" cm="1">
        <f t="array" ref="G27">IntelHexChecksum(RIGHT(C27,40))</f>
        <v>5A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04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H27" s="60"/>
      <c r="AI27" s="60"/>
      <c r="AJ27" s="60"/>
      <c r="AK27" s="60"/>
      <c r="AL27" s="60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:1074B000011d007251d01e206e285500a2e28400</v>
      </c>
      <c r="D28" s="36"/>
      <c r="E28" s="36"/>
      <c r="F28" s="36"/>
      <c r="G28" s="36" t="str" cm="1">
        <f t="array" ref="G28">IntelHexChecksum(RIGHT(C28,40))</f>
        <v>EA</v>
      </c>
      <c r="H28" s="36"/>
      <c r="I28" s="36"/>
      <c r="J28" s="41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:1074C000001e0000000000000000000000000000</v>
      </c>
      <c r="D29" s="36"/>
      <c r="E29" s="36"/>
      <c r="F29" s="36"/>
      <c r="G29" s="36" t="str" cm="1">
        <f t="array" ref="G29">IntelHexChecksum(RIGHT(C29,40))</f>
        <v>9E</v>
      </c>
      <c r="H29" s="36"/>
      <c r="I29" s="36"/>
      <c r="J29" s="41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9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:1074D000007f00FFFFFFFFFFFF00371801000100</v>
      </c>
      <c r="D30" s="44"/>
      <c r="E30" s="44"/>
      <c r="F30" s="44"/>
      <c r="G30" s="44" t="str" cm="1">
        <f t="array" ref="G30">IntelHexChecksum(RIGHT(C30,40))</f>
        <v>E2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 t="s">
        <v>289</v>
      </c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  <dataValidation type="list" allowBlank="1" showInputMessage="1" showErrorMessage="1" sqref="G7" xr:uid="{E88395DD-DB27-421C-B99A-7C16C4ACAE3C}">
      <formula1>$AQ$5:$AQ$36</formula1>
    </dataValidation>
  </dataValidations>
  <hyperlinks>
    <hyperlink ref="V24" r:id="rId1" xr:uid="{6A4A084F-2EC5-4DC2-A11F-D4B04878C59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zoomScale="90" zoomScaleNormal="90" workbookViewId="0">
      <selection activeCell="W7" sqref="W7:AL2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2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305</v>
      </c>
      <c r="W3" s="62" t="s">
        <v>163</v>
      </c>
    </row>
    <row r="4" spans="2:54" ht="15" thickBot="1" x14ac:dyDescent="0.35">
      <c r="M4" t="s">
        <v>302</v>
      </c>
      <c r="O4" t="s">
        <v>302</v>
      </c>
      <c r="Q4" t="s">
        <v>302</v>
      </c>
      <c r="S4" t="s">
        <v>302</v>
      </c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44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72</v>
      </c>
      <c r="N5" s="102"/>
      <c r="O5" s="101" t="str">
        <f>BIN2HEX(_xlfn.CONCAT(O8,P8),2)</f>
        <v>72</v>
      </c>
      <c r="P5" s="102"/>
      <c r="Q5" s="101" t="str">
        <f>BIN2HEX(_xlfn.CONCAT(Q8,R8),2)</f>
        <v>9F</v>
      </c>
      <c r="R5" s="102"/>
      <c r="S5" s="101" t="str">
        <f>BIN2HEX(_xlfn.CONCAT(S8,T8),2)</f>
        <v>68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 t="s">
        <v>305</v>
      </c>
      <c r="N7" s="33" t="s">
        <v>19</v>
      </c>
      <c r="O7" s="9" t="s">
        <v>305</v>
      </c>
      <c r="P7" s="33" t="s">
        <v>19</v>
      </c>
      <c r="Q7" s="9" t="s">
        <v>305</v>
      </c>
      <c r="R7" s="9" t="s">
        <v>305</v>
      </c>
      <c r="S7" s="9" t="s">
        <v>305</v>
      </c>
      <c r="T7" s="9" t="s">
        <v>305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130</v>
      </c>
      <c r="AF7" s="60" t="s">
        <v>200</v>
      </c>
      <c r="AG7" s="60" t="s">
        <v>145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>
        <v>111001</v>
      </c>
      <c r="N8" s="20">
        <f>IF(AND(EXACT(N7,"Supported"),EXACT(P7,"Not Supported")),1,0)</f>
        <v>0</v>
      </c>
      <c r="O8" s="26">
        <v>111001</v>
      </c>
      <c r="P8" s="20">
        <f>IF(AND(EXACT(P7,"Supported"),EXACT(N7,"Not Supported")),1,0)</f>
        <v>0</v>
      </c>
      <c r="Q8" s="19">
        <v>10011</v>
      </c>
      <c r="R8" s="18">
        <v>111</v>
      </c>
      <c r="S8" s="92" t="s">
        <v>303</v>
      </c>
      <c r="T8" s="93" t="s">
        <v>304</v>
      </c>
      <c r="V8" s="60"/>
      <c r="W8" s="60" t="s">
        <v>100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117</v>
      </c>
      <c r="AF8" s="60" t="s">
        <v>133</v>
      </c>
      <c r="AG8" s="60" t="s">
        <v>134</v>
      </c>
      <c r="AH8" s="60" t="s">
        <v>129</v>
      </c>
      <c r="AI8" s="60" t="s">
        <v>108</v>
      </c>
      <c r="AJ8" s="60" t="s">
        <v>135</v>
      </c>
      <c r="AK8" s="60" t="s">
        <v>136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135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127</v>
      </c>
      <c r="AG9" s="60" t="s">
        <v>6</v>
      </c>
      <c r="AH9" s="60" t="s">
        <v>127</v>
      </c>
      <c r="AI9" s="60" t="s">
        <v>127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O10" t="s">
        <v>301</v>
      </c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102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300</v>
      </c>
      <c r="J11" s="40"/>
      <c r="O11" s="6" t="s">
        <v>306</v>
      </c>
      <c r="V11" s="60"/>
      <c r="W11" s="60" t="s">
        <v>119</v>
      </c>
      <c r="X11" s="60" t="s">
        <v>7</v>
      </c>
      <c r="Y11" s="60" t="s">
        <v>87</v>
      </c>
      <c r="Z11" s="60" t="s">
        <v>123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EB0146D00044034872729F68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87</v>
      </c>
      <c r="AB12" s="60" t="s">
        <v>123</v>
      </c>
      <c r="AC12" s="60" t="s">
        <v>125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5E</v>
      </c>
      <c r="D13" s="36"/>
      <c r="E13" s="36"/>
      <c r="F13" s="36"/>
      <c r="G13" s="36"/>
      <c r="H13" s="36"/>
      <c r="I13" s="36"/>
      <c r="J13" s="41"/>
      <c r="V13" s="60"/>
      <c r="W13" s="60" t="s">
        <v>90</v>
      </c>
      <c r="X13" s="60" t="s">
        <v>134</v>
      </c>
      <c r="Y13" s="60" t="s">
        <v>91</v>
      </c>
      <c r="Z13" s="60" t="s">
        <v>240</v>
      </c>
      <c r="AA13" s="60" t="s">
        <v>102</v>
      </c>
      <c r="AB13" s="60" t="s">
        <v>294</v>
      </c>
      <c r="AC13" s="60" t="s">
        <v>93</v>
      </c>
      <c r="AD13" s="60" t="s">
        <v>295</v>
      </c>
      <c r="AE13" s="60" t="s">
        <v>296</v>
      </c>
      <c r="AF13" s="60" t="s">
        <v>117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:1073D000008600ffffffffffff0019b830000100</v>
      </c>
      <c r="D14" s="36"/>
      <c r="E14" s="36"/>
      <c r="F14" s="36"/>
      <c r="G14" s="36" t="str" cm="1">
        <f t="array" ref="G14">IntelHexChecksum(RIGHT(C14,40))</f>
        <v>2B</v>
      </c>
      <c r="H14" s="36"/>
      <c r="I14" s="36"/>
      <c r="J14" s="41"/>
      <c r="V14" s="60"/>
      <c r="W14" s="60" t="s">
        <v>7</v>
      </c>
      <c r="X14" s="60" t="s">
        <v>297</v>
      </c>
      <c r="Y14" s="60" t="s">
        <v>180</v>
      </c>
      <c r="Z14" s="60" t="s">
        <v>72</v>
      </c>
      <c r="AA14" s="60" t="s">
        <v>116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145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:1073E0000000141f0103807341780acf74a3574c</v>
      </c>
      <c r="D15" s="36"/>
      <c r="E15" s="36"/>
      <c r="F15" s="36"/>
      <c r="G15" s="36" t="str" cm="1">
        <f t="array" ref="G15">IntelHexChecksum(RIGHT(C15,40))</f>
        <v>27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298</v>
      </c>
      <c r="Z15" s="60" t="s">
        <v>256</v>
      </c>
      <c r="AA15" s="60" t="s">
        <v>197</v>
      </c>
      <c r="AB15" s="60" t="s">
        <v>96</v>
      </c>
      <c r="AC15" s="60" t="s">
        <v>193</v>
      </c>
      <c r="AD15" s="60" t="s">
        <v>89</v>
      </c>
      <c r="AE15" s="60" t="s">
        <v>6</v>
      </c>
      <c r="AF15" s="60" t="s">
        <v>98</v>
      </c>
      <c r="AG15" s="60" t="s">
        <v>99</v>
      </c>
      <c r="AH15" s="60" t="s">
        <v>100</v>
      </c>
      <c r="AI15" s="60" t="s">
        <v>101</v>
      </c>
      <c r="AJ15" s="60" t="s">
        <v>97</v>
      </c>
      <c r="AK15" s="60" t="s">
        <v>196</v>
      </c>
      <c r="AL15" s="60" t="s">
        <v>72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:1073F000b02309484c000000010101ff01ffff01</v>
      </c>
      <c r="D16" s="36"/>
      <c r="E16" s="36"/>
      <c r="F16" s="36"/>
      <c r="G16" s="36" t="str" cm="1">
        <f t="array" ref="G16">IntelHexChecksum(RIGHT(C16,40))</f>
        <v>1B</v>
      </c>
      <c r="H16" s="36"/>
      <c r="I16" s="36"/>
      <c r="J16" s="41"/>
      <c r="V16" s="60"/>
      <c r="W16" s="60" t="s">
        <v>102</v>
      </c>
      <c r="X16" s="60" t="s">
        <v>103</v>
      </c>
      <c r="Y16" s="60" t="s">
        <v>70</v>
      </c>
      <c r="Z16" s="60" t="s">
        <v>78</v>
      </c>
      <c r="AA16" s="60" t="s">
        <v>92</v>
      </c>
      <c r="AB16" s="60" t="s">
        <v>91</v>
      </c>
      <c r="AC16" s="60" t="s">
        <v>198</v>
      </c>
      <c r="AD16" s="60" t="s">
        <v>253</v>
      </c>
      <c r="AE16" s="60" t="s">
        <v>93</v>
      </c>
      <c r="AF16" s="60" t="s">
        <v>94</v>
      </c>
      <c r="AG16" s="60" t="s">
        <v>197</v>
      </c>
      <c r="AH16" s="60" t="s">
        <v>194</v>
      </c>
      <c r="AI16" s="60" t="s">
        <v>88</v>
      </c>
      <c r="AJ16" s="60" t="s">
        <v>114</v>
      </c>
      <c r="AK16" s="60" t="s">
        <v>29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:10740000010101010101012008e80030f2705a80</v>
      </c>
      <c r="D17" s="36"/>
      <c r="E17" s="36"/>
      <c r="F17" s="36"/>
      <c r="G17" s="36" t="str" cm="1">
        <f t="array" ref="G17">IntelHexChecksum(RIGHT(C17,40))</f>
        <v>F9</v>
      </c>
      <c r="H17" s="36"/>
      <c r="I17" s="36"/>
      <c r="J17" s="41"/>
      <c r="V17" s="60"/>
      <c r="W17" s="60" t="s">
        <v>125</v>
      </c>
      <c r="X17" s="60" t="s">
        <v>73</v>
      </c>
      <c r="Y17" s="60" t="s">
        <v>104</v>
      </c>
      <c r="Z17" s="60" t="s">
        <v>105</v>
      </c>
      <c r="AA17" s="60" t="s">
        <v>138</v>
      </c>
      <c r="AB17" s="60" t="s">
        <v>75</v>
      </c>
      <c r="AC17" s="60" t="s">
        <v>97</v>
      </c>
      <c r="AD17" s="60" t="s">
        <v>107</v>
      </c>
      <c r="AE17" s="60" t="s">
        <v>97</v>
      </c>
      <c r="AF17" s="60" t="s">
        <v>106</v>
      </c>
      <c r="AG17" s="60" t="s">
        <v>274</v>
      </c>
      <c r="AH17" s="60" t="s">
        <v>95</v>
      </c>
      <c r="AI17" s="60" t="s">
        <v>6</v>
      </c>
      <c r="AJ17" s="60" t="s">
        <v>76</v>
      </c>
      <c r="AK17" s="60" t="s">
        <v>97</v>
      </c>
      <c r="AL17" s="60" t="s">
        <v>81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78</v>
      </c>
      <c r="X18" s="60" t="s">
        <v>79</v>
      </c>
      <c r="Y18" s="60" t="s">
        <v>6</v>
      </c>
      <c r="Z18" s="60" t="s">
        <v>109</v>
      </c>
      <c r="AA18" s="60" t="s">
        <v>95</v>
      </c>
      <c r="AB18" s="60" t="s">
        <v>89</v>
      </c>
      <c r="AC18" s="60" t="s">
        <v>110</v>
      </c>
      <c r="AD18" s="60" t="s">
        <v>6</v>
      </c>
      <c r="AE18" s="60" t="s">
        <v>7</v>
      </c>
      <c r="AF18" s="60" t="s">
        <v>7</v>
      </c>
      <c r="AG18" s="60" t="s">
        <v>85</v>
      </c>
      <c r="AH18" s="60" t="s">
        <v>7</v>
      </c>
      <c r="AI18" s="60" t="s">
        <v>127</v>
      </c>
      <c r="AJ18" s="60" t="s">
        <v>82</v>
      </c>
      <c r="AK18" s="60" t="s">
        <v>89</v>
      </c>
      <c r="AL18" s="60" t="s">
        <v>83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305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7</v>
      </c>
      <c r="X19" s="60" t="s">
        <v>28</v>
      </c>
      <c r="Y19" s="60" t="s">
        <v>7</v>
      </c>
      <c r="Z19" s="60" t="s">
        <v>113</v>
      </c>
      <c r="AA19" s="60" t="s">
        <v>113</v>
      </c>
      <c r="AB19" s="60" t="s">
        <v>102</v>
      </c>
      <c r="AC19" s="60" t="s">
        <v>7</v>
      </c>
      <c r="AD19" s="60" t="s">
        <v>112</v>
      </c>
      <c r="AE19" s="60" t="s">
        <v>6</v>
      </c>
      <c r="AF19" s="60" t="s">
        <v>88</v>
      </c>
      <c r="AG19" s="60" t="s">
        <v>89</v>
      </c>
      <c r="AH19" s="60" t="s">
        <v>95</v>
      </c>
      <c r="AI19" s="60" t="s">
        <v>295</v>
      </c>
      <c r="AJ19" s="60" t="s">
        <v>86</v>
      </c>
      <c r="AK19" s="60" t="s">
        <v>70</v>
      </c>
      <c r="AL19" s="60" t="s">
        <v>87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:10743000004d537461722044656d6f0a20200000</v>
      </c>
      <c r="D20" s="36"/>
      <c r="E20" s="36"/>
      <c r="F20" s="36"/>
      <c r="G20" s="36" t="str" cm="1">
        <f t="array" ref="G20">IntelHexChecksum(RIGHT(C20,40))</f>
        <v>76</v>
      </c>
      <c r="H20" s="36"/>
      <c r="I20" s="36"/>
      <c r="J20" s="41"/>
      <c r="V20" s="60"/>
      <c r="W20" s="60" t="s">
        <v>6</v>
      </c>
      <c r="X20" s="60" t="s">
        <v>113</v>
      </c>
      <c r="Y20" s="60" t="s">
        <v>112</v>
      </c>
      <c r="Z20" s="60" t="s">
        <v>74</v>
      </c>
      <c r="AA20" s="60" t="s">
        <v>105</v>
      </c>
      <c r="AB20" s="60" t="s">
        <v>288</v>
      </c>
      <c r="AC20" s="60" t="s">
        <v>113</v>
      </c>
      <c r="AD20" s="60" t="s">
        <v>7</v>
      </c>
      <c r="AE20" s="60" t="s">
        <v>7</v>
      </c>
      <c r="AF20" s="60" t="s">
        <v>7</v>
      </c>
      <c r="AG20" s="60" t="s">
        <v>80</v>
      </c>
      <c r="AH20" s="60" t="s">
        <v>96</v>
      </c>
      <c r="AI20" s="60" t="s">
        <v>127</v>
      </c>
      <c r="AJ20" s="60" t="s">
        <v>6</v>
      </c>
      <c r="AK20" s="60" t="s">
        <v>204</v>
      </c>
      <c r="AL20" s="60" t="s">
        <v>74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7</v>
      </c>
      <c r="X21" s="60" t="s">
        <v>112</v>
      </c>
      <c r="Y21" s="60" t="s">
        <v>130</v>
      </c>
      <c r="Z21" s="60" t="s">
        <v>7</v>
      </c>
      <c r="AA21" s="60" t="s">
        <v>287</v>
      </c>
      <c r="AB21" s="60" t="s">
        <v>114</v>
      </c>
      <c r="AC21" s="60" t="s">
        <v>97</v>
      </c>
      <c r="AD21" s="60" t="s">
        <v>6</v>
      </c>
      <c r="AE21" s="60" t="s">
        <v>137</v>
      </c>
      <c r="AF21" s="60" t="s">
        <v>7</v>
      </c>
      <c r="AG21" s="60" t="s">
        <v>84</v>
      </c>
      <c r="AH21" s="91" t="s">
        <v>205</v>
      </c>
      <c r="AI21" s="91" t="s">
        <v>6</v>
      </c>
      <c r="AJ21" s="91" t="s">
        <v>180</v>
      </c>
      <c r="AK21" s="91" t="s">
        <v>118</v>
      </c>
      <c r="AL21" s="91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:107450000130020377f05e058403011213141607</v>
      </c>
      <c r="D22" s="36"/>
      <c r="E22" s="36"/>
      <c r="F22" s="36"/>
      <c r="G22" s="36" t="str" cm="1">
        <f t="array" ref="G22">IntelHexChecksum(RIGHT(C22,40))</f>
        <v>4E</v>
      </c>
      <c r="H22" s="36"/>
      <c r="I22" s="36"/>
      <c r="J22" s="41"/>
      <c r="V22" s="60"/>
      <c r="W22" s="62" t="str">
        <f>C5</f>
        <v>44</v>
      </c>
      <c r="X22" s="62" t="str">
        <f>G5</f>
        <v>03</v>
      </c>
      <c r="Y22" s="62" t="str">
        <f>J5</f>
        <v>48</v>
      </c>
      <c r="Z22" s="62" t="str">
        <f>M5</f>
        <v>72</v>
      </c>
      <c r="AA22" s="62" t="str">
        <f>O5</f>
        <v>72</v>
      </c>
      <c r="AB22" s="62" t="str">
        <f>Q5</f>
        <v>9F</v>
      </c>
      <c r="AC22" s="62" t="str">
        <f>S5</f>
        <v>68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:10746000901f20225d5f6061626465665e630206</v>
      </c>
      <c r="D23" s="36"/>
      <c r="E23" s="36"/>
      <c r="F23" s="36"/>
      <c r="G23" s="36" t="str" cm="1">
        <f t="array" ref="G23">IntelHexChecksum(RIGHT(C23,40))</f>
        <v>54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:107470001115213f4032097f071507505104013d</v>
      </c>
      <c r="D24" s="36"/>
      <c r="E24" s="36"/>
      <c r="F24" s="36"/>
      <c r="G24" s="36" t="str" cm="1">
        <f t="array" ref="G24">IntelHexChecksum(RIGHT(C24,40))</f>
        <v>86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:1074800007c05f7e0167040383010000e200ff6e</v>
      </c>
      <c r="D25" s="36"/>
      <c r="E25" s="36"/>
      <c r="F25" s="36"/>
      <c r="G25" s="36" t="str" cm="1">
        <f t="array" ref="G25">IntelHexChecksum(RIGHT(C25,40))</f>
        <v>16</v>
      </c>
      <c r="H25" s="36"/>
      <c r="I25" s="36"/>
      <c r="J25" s="41"/>
      <c r="U25" t="s">
        <v>320</v>
      </c>
      <c r="V25" s="12">
        <f>HEX2DEC(Y13)</f>
        <v>97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:10749000030c0010007878200080010203046dd8</v>
      </c>
      <c r="D26" s="36"/>
      <c r="E26" s="36"/>
      <c r="F26" s="36"/>
      <c r="G26" s="36" t="str" cm="1">
        <f t="array" ref="G26">IntelHexChecksum(RIGHT(C26,40))</f>
        <v>EE</v>
      </c>
      <c r="H26" s="36"/>
      <c r="I26" s="36"/>
      <c r="J26" s="41"/>
      <c r="U26" t="s">
        <v>321</v>
      </c>
      <c r="V26" t="str">
        <f>DEC2HEX(V25+12)</f>
        <v>6D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:1074A0005dc40178800f322878000000e305ff01</v>
      </c>
      <c r="D27" s="36"/>
      <c r="E27" s="36"/>
      <c r="F27" s="36"/>
      <c r="G27" s="36" t="str" cm="1">
        <f t="array" ref="G27">IntelHexChecksum(RIGHT(C27,40))</f>
        <v>F9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44</v>
      </c>
      <c r="AB27" t="str">
        <f>$G$5</f>
        <v>03</v>
      </c>
      <c r="AC27" t="str">
        <f>$J$5</f>
        <v>48</v>
      </c>
      <c r="AD27" t="str">
        <f>$M$5</f>
        <v>72</v>
      </c>
      <c r="AE27" t="str">
        <f>$O$5</f>
        <v>72</v>
      </c>
      <c r="AF27" t="str">
        <f>$Q$5</f>
        <v>9F</v>
      </c>
      <c r="AG27" t="str">
        <f>$S$5</f>
        <v>68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:1074B000e50f00801900e606070123003ceb0146</v>
      </c>
      <c r="D28" s="36"/>
      <c r="E28" s="36"/>
      <c r="F28" s="36"/>
      <c r="G28" s="36" t="str" cm="1">
        <f t="array" ref="G28">IntelHexChecksum(RIGHT(C28,40))</f>
        <v>BA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:1074C000d00044034872729F6800000000000000</v>
      </c>
      <c r="D29" s="36"/>
      <c r="E29" s="36"/>
      <c r="F29" s="36"/>
      <c r="G29" s="36" t="str" cm="1">
        <f t="array" ref="G29">IntelHexChecksum(RIGHT(C29,40))</f>
        <v>72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  <dataValidation type="list" allowBlank="1" showInputMessage="1" showErrorMessage="1" sqref="G7" xr:uid="{0645B369-A336-45A8-B627-00D49A114D2F}">
      <formula1>$AQ$5:$AQ$36</formula1>
    </dataValidation>
  </dataValidations>
  <hyperlinks>
    <hyperlink ref="V24" r:id="rId1" xr:uid="{4350903B-F3D4-493D-9117-A410154476D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DE495-3F64-401D-AD81-3AF84DDF1655}">
  <sheetPr codeName="Sheet12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48</v>
      </c>
      <c r="D5" s="103"/>
      <c r="E5" s="103"/>
      <c r="F5" s="104"/>
      <c r="G5" s="105" t="str">
        <f>DEC2HEX(_xlfn.BITLSHIFT(BIN2DEC(G8),3)+_xlfn.BITLSHIFT(BIN2DEC(H8),2)+BIN2DEC(I8),2)</f>
        <v>53</v>
      </c>
      <c r="H5" s="101"/>
      <c r="I5" s="102"/>
      <c r="J5" s="105" t="str">
        <f>DEC2HEX(_xlfn.BITLSHIFT(BIN2DEC(J8),3)+_xlfn.BITLSHIFT(BIN2DEC(K8),1)+BIN2DEC(L8),2)</f>
        <v>10</v>
      </c>
      <c r="K5" s="101"/>
      <c r="L5" s="102"/>
      <c r="M5" s="101" t="str">
        <f>BIN2HEX(_xlfn.CONCAT(M8,N8),2)</f>
        <v>56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10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E252AFF-3DEF-432B-9DA8-18AD54987DA7}">
      <formula1>$AN$5:$AN$36</formula1>
    </dataValidation>
    <dataValidation type="list" allowBlank="1" showInputMessage="1" showErrorMessage="1" sqref="I7" xr:uid="{DBE24434-B321-4C44-A9F5-38CC43C8272C}">
      <formula1>$AR$5:$AR$9</formula1>
    </dataValidation>
    <dataValidation type="list" allowBlank="1" showInputMessage="1" showErrorMessage="1" sqref="I3" xr:uid="{94FF8FAE-6024-4553-8C7D-5903192915E7}">
      <formula1>$AU$15:$AU$17</formula1>
    </dataValidation>
    <dataValidation type="list" allowBlank="1" showInputMessage="1" showErrorMessage="1" sqref="L7" xr:uid="{E52BC077-C4B1-459F-946E-AA2DD064F521}">
      <formula1>$AU$5:$AU$8</formula1>
    </dataValidation>
    <dataValidation type="list" allowBlank="1" showInputMessage="1" showErrorMessage="1" sqref="E7:F7 H7 N7 P7" xr:uid="{D2D559CC-5A0A-4259-9430-8F0ED787357D}">
      <formula1>"Supported, Not Supported"</formula1>
    </dataValidation>
    <dataValidation type="list" allowBlank="1" showInputMessage="1" showErrorMessage="1" sqref="G7" xr:uid="{B573D50B-CB86-4CB4-BB93-A7456A5F6D23}">
      <formula1>$AQ$5:$AQ$36</formula1>
    </dataValidation>
  </dataValidations>
  <hyperlinks>
    <hyperlink ref="V24" r:id="rId1" xr:uid="{6CE37308-3905-48C0-B383-7ED063FBB2D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topLeftCell="D1" zoomScale="90" zoomScaleNormal="90" workbookViewId="0">
      <selection activeCell="W7" sqref="W7:AL2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07</v>
      </c>
      <c r="H5" s="101"/>
      <c r="I5" s="102"/>
      <c r="J5" s="105" t="str">
        <f>DEC2HEX(_xlfn.BITLSHIFT(BIN2DEC(J8),3)+_xlfn.BITLSHIFT(BIN2DEC(K8),1)+BIN2DEC(L8),2)</f>
        <v>F8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10000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77</v>
      </c>
      <c r="AF7" s="60" t="s">
        <v>295</v>
      </c>
      <c r="AG7" s="60" t="s">
        <v>6</v>
      </c>
      <c r="AH7" s="60" t="s">
        <v>7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11111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6</v>
      </c>
      <c r="X8" s="60" t="s">
        <v>77</v>
      </c>
      <c r="Y8" s="60" t="s">
        <v>6</v>
      </c>
      <c r="Z8" s="60" t="s">
        <v>89</v>
      </c>
      <c r="AA8" s="60" t="s">
        <v>112</v>
      </c>
      <c r="AB8" s="60" t="s">
        <v>309</v>
      </c>
      <c r="AC8" s="60" t="s">
        <v>147</v>
      </c>
      <c r="AD8" s="60" t="s">
        <v>113</v>
      </c>
      <c r="AE8" s="60" t="s">
        <v>117</v>
      </c>
      <c r="AF8" s="60" t="s">
        <v>310</v>
      </c>
      <c r="AG8" s="60" t="s">
        <v>311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312</v>
      </c>
      <c r="AA9" s="60" t="s">
        <v>140</v>
      </c>
      <c r="AB9" s="60" t="s">
        <v>7</v>
      </c>
      <c r="AC9" s="60" t="s">
        <v>278</v>
      </c>
      <c r="AD9" s="60" t="s">
        <v>104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151</v>
      </c>
      <c r="AJ9" s="60" t="s">
        <v>104</v>
      </c>
      <c r="AK9" s="60" t="s">
        <v>141</v>
      </c>
      <c r="AL9" s="60" t="s">
        <v>112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313</v>
      </c>
      <c r="X10" s="60" t="s">
        <v>81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255</v>
      </c>
      <c r="J11" s="40"/>
      <c r="V11" s="60"/>
      <c r="W11" s="60" t="s">
        <v>119</v>
      </c>
      <c r="X11" s="60" t="s">
        <v>7</v>
      </c>
      <c r="Y11" s="60" t="s">
        <v>190</v>
      </c>
      <c r="Z11" s="60" t="s">
        <v>106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94</v>
      </c>
      <c r="AF11" s="60" t="s">
        <v>125</v>
      </c>
      <c r="AG11" s="60" t="s">
        <v>106</v>
      </c>
      <c r="AH11" s="60" t="s">
        <v>136</v>
      </c>
      <c r="AI11" s="60" t="s">
        <v>274</v>
      </c>
      <c r="AJ11" s="60" t="s">
        <v>7</v>
      </c>
      <c r="AK11" s="60" t="s">
        <v>314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EB0146D0004707F85798A953</v>
      </c>
      <c r="D12" s="51"/>
      <c r="E12" s="51"/>
      <c r="F12" s="51"/>
      <c r="G12" s="51"/>
      <c r="H12" s="51"/>
      <c r="I12" s="51"/>
      <c r="J12" s="52"/>
      <c r="V12" s="60"/>
      <c r="W12" s="60" t="s">
        <v>104</v>
      </c>
      <c r="X12" s="60" t="s">
        <v>146</v>
      </c>
      <c r="Y12" s="60" t="s">
        <v>315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A7</v>
      </c>
      <c r="D13" s="36"/>
      <c r="E13" s="36"/>
      <c r="F13" s="36"/>
      <c r="G13" s="36"/>
      <c r="H13" s="36"/>
      <c r="I13" s="36"/>
      <c r="J13" s="41"/>
      <c r="V13" s="60"/>
      <c r="W13" s="60" t="s">
        <v>113</v>
      </c>
      <c r="X13" s="60" t="s">
        <v>77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:1073D000008600ffffffffffff001e6d01000101</v>
      </c>
      <c r="D14" s="36"/>
      <c r="E14" s="36"/>
      <c r="F14" s="36"/>
      <c r="G14" s="36" t="str" cm="1">
        <f t="array" ref="G14">IntelHexChecksum(RIGHT(C14,40))</f>
        <v>9F</v>
      </c>
      <c r="H14" s="36"/>
      <c r="I14" s="36"/>
      <c r="J14" s="41"/>
      <c r="V14" s="60"/>
      <c r="W14" s="60" t="s">
        <v>7</v>
      </c>
      <c r="X14" s="60" t="s">
        <v>135</v>
      </c>
      <c r="Y14" s="60" t="s">
        <v>252</v>
      </c>
      <c r="Z14" s="60" t="s">
        <v>102</v>
      </c>
      <c r="AA14" s="60" t="s">
        <v>106</v>
      </c>
      <c r="AB14" s="60" t="s">
        <v>241</v>
      </c>
      <c r="AC14" s="60" t="s">
        <v>156</v>
      </c>
      <c r="AD14" s="60" t="s">
        <v>187</v>
      </c>
      <c r="AE14" s="60" t="s">
        <v>142</v>
      </c>
      <c r="AF14" s="60" t="s">
        <v>155</v>
      </c>
      <c r="AG14" s="60" t="s">
        <v>191</v>
      </c>
      <c r="AH14" s="60" t="s">
        <v>156</v>
      </c>
      <c r="AI14" s="60" t="s">
        <v>241</v>
      </c>
      <c r="AJ14" s="60" t="s">
        <v>117</v>
      </c>
      <c r="AK14" s="60" t="s">
        <v>6</v>
      </c>
      <c r="AL14" s="60" t="s">
        <v>187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:1073E0000101011e010380a05a780aee91a3544c</v>
      </c>
      <c r="D15" s="36"/>
      <c r="E15" s="36"/>
      <c r="F15" s="36"/>
      <c r="G15" s="36" t="str" cm="1">
        <f t="array" ref="G15">IntelHexChecksum(RIGHT(C15,40))</f>
        <v>BA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190</v>
      </c>
      <c r="Z15" s="60" t="s">
        <v>316</v>
      </c>
      <c r="AA15" s="60" t="s">
        <v>147</v>
      </c>
      <c r="AB15" s="60" t="s">
        <v>78</v>
      </c>
      <c r="AC15" s="60" t="s">
        <v>78</v>
      </c>
      <c r="AD15" s="60" t="s">
        <v>28</v>
      </c>
      <c r="AE15" s="60" t="s">
        <v>72</v>
      </c>
      <c r="AF15" s="60" t="s">
        <v>253</v>
      </c>
      <c r="AG15" s="60" t="s">
        <v>253</v>
      </c>
      <c r="AH15" s="60" t="s">
        <v>95</v>
      </c>
      <c r="AI15" s="60" t="s">
        <v>99</v>
      </c>
      <c r="AJ15" s="60" t="s">
        <v>95</v>
      </c>
      <c r="AK15" s="60" t="s">
        <v>95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:1073F00099260f5054a108003140454061407140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88</v>
      </c>
      <c r="X16" s="60" t="s">
        <v>98</v>
      </c>
      <c r="Y16" s="60" t="s">
        <v>102</v>
      </c>
      <c r="Z16" s="60" t="s">
        <v>125</v>
      </c>
      <c r="AA16" s="60" t="s">
        <v>103</v>
      </c>
      <c r="AB16" s="60" t="s">
        <v>95</v>
      </c>
      <c r="AC16" s="60" t="s">
        <v>6</v>
      </c>
      <c r="AD16" s="60" t="s">
        <v>70</v>
      </c>
      <c r="AE16" s="60" t="s">
        <v>197</v>
      </c>
      <c r="AF16" s="60" t="s">
        <v>78</v>
      </c>
      <c r="AG16" s="60" t="s">
        <v>198</v>
      </c>
      <c r="AH16" s="60" t="s">
        <v>194</v>
      </c>
      <c r="AI16" s="60" t="s">
        <v>253</v>
      </c>
      <c r="AJ16" s="60" t="s">
        <v>73</v>
      </c>
      <c r="AK16" s="60" t="s">
        <v>104</v>
      </c>
      <c r="AL16" s="60" t="s">
        <v>137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:107400008180d1c00101010104740030f2705a80</v>
      </c>
      <c r="D17" s="36"/>
      <c r="E17" s="36"/>
      <c r="F17" s="36"/>
      <c r="G17" s="36" t="str" cm="1">
        <f t="array" ref="G17">IntelHexChecksum(RIGHT(C17,40))</f>
        <v>02</v>
      </c>
      <c r="H17" s="36"/>
      <c r="I17" s="36"/>
      <c r="J17" s="41"/>
      <c r="V17" s="60"/>
      <c r="W17" s="60" t="s">
        <v>138</v>
      </c>
      <c r="X17" s="60" t="s">
        <v>108</v>
      </c>
      <c r="Y17" s="60" t="s">
        <v>97</v>
      </c>
      <c r="Z17" s="60" t="s">
        <v>82</v>
      </c>
      <c r="AA17" s="60" t="s">
        <v>89</v>
      </c>
      <c r="AB17" s="60" t="s">
        <v>83</v>
      </c>
      <c r="AC17" s="60" t="s">
        <v>7</v>
      </c>
      <c r="AD17" s="60" t="s">
        <v>28</v>
      </c>
      <c r="AE17" s="60" t="s">
        <v>7</v>
      </c>
      <c r="AF17" s="60" t="s">
        <v>200</v>
      </c>
      <c r="AG17" s="60" t="s">
        <v>84</v>
      </c>
      <c r="AH17" s="60" t="s">
        <v>271</v>
      </c>
      <c r="AI17" s="60" t="s">
        <v>7</v>
      </c>
      <c r="AJ17" s="60" t="s">
        <v>112</v>
      </c>
      <c r="AK17" s="60" t="s">
        <v>6</v>
      </c>
      <c r="AL17" s="60" t="s">
        <v>88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:10741000b0588a0055502100001e662150b05100</v>
      </c>
      <c r="D18" s="36"/>
      <c r="E18" s="36"/>
      <c r="F18" s="36"/>
      <c r="G18" s="36" t="str" cm="1">
        <f t="array" ref="G18">IntelHexChecksum(RIGHT(C18,40))</f>
        <v>1E</v>
      </c>
      <c r="H18" s="36"/>
      <c r="I18" s="36"/>
      <c r="J18" s="41"/>
      <c r="V18" s="60"/>
      <c r="W18" s="60" t="s">
        <v>89</v>
      </c>
      <c r="X18" s="60" t="s">
        <v>95</v>
      </c>
      <c r="Y18" s="60" t="s">
        <v>284</v>
      </c>
      <c r="Z18" s="60" t="s">
        <v>148</v>
      </c>
      <c r="AA18" s="60" t="s">
        <v>70</v>
      </c>
      <c r="AB18" s="60" t="s">
        <v>87</v>
      </c>
      <c r="AC18" s="60" t="s">
        <v>6</v>
      </c>
      <c r="AD18" s="60" t="s">
        <v>113</v>
      </c>
      <c r="AE18" s="60" t="s">
        <v>112</v>
      </c>
      <c r="AF18" s="60" t="s">
        <v>89</v>
      </c>
      <c r="AG18" s="60" t="s">
        <v>88</v>
      </c>
      <c r="AH18" s="60" t="s">
        <v>85</v>
      </c>
      <c r="AI18" s="60" t="s">
        <v>7</v>
      </c>
      <c r="AJ18" s="60" t="s">
        <v>133</v>
      </c>
      <c r="AK18" s="60" t="s">
        <v>80</v>
      </c>
      <c r="AL18" s="60" t="s">
        <v>96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:107420001b304070360040846300001e000000fd</v>
      </c>
      <c r="D19" s="36"/>
      <c r="E19" s="36"/>
      <c r="F19" s="36"/>
      <c r="G19" s="36" t="str" cm="1">
        <f t="array" ref="G19">IntelHexChecksum(RIGHT(C19,40))</f>
        <v>E9</v>
      </c>
      <c r="H19" s="36"/>
      <c r="I19" s="36"/>
      <c r="J19" s="41"/>
      <c r="V19" s="60"/>
      <c r="W19" s="60" t="s">
        <v>81</v>
      </c>
      <c r="X19" s="60" t="s">
        <v>7</v>
      </c>
      <c r="Y19" s="60" t="s">
        <v>80</v>
      </c>
      <c r="Z19" s="60" t="s">
        <v>114</v>
      </c>
      <c r="AA19" s="60" t="s">
        <v>7</v>
      </c>
      <c r="AB19" s="60" t="s">
        <v>7</v>
      </c>
      <c r="AC19" s="60" t="s">
        <v>85</v>
      </c>
      <c r="AD19" s="60" t="s">
        <v>74</v>
      </c>
      <c r="AE19" s="60" t="s">
        <v>157</v>
      </c>
      <c r="AF19" s="91" t="s">
        <v>205</v>
      </c>
      <c r="AG19" s="91" t="s">
        <v>6</v>
      </c>
      <c r="AH19" s="91" t="s">
        <v>180</v>
      </c>
      <c r="AI19" s="91" t="s">
        <v>118</v>
      </c>
      <c r="AJ19" s="91" t="s">
        <v>7</v>
      </c>
      <c r="AK19" s="62" t="str">
        <f>C5</f>
        <v>47</v>
      </c>
      <c r="AL19" s="62" t="str">
        <f>G5</f>
        <v>07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:107430000018781e873c000a2020202020200000</v>
      </c>
      <c r="D20" s="36"/>
      <c r="E20" s="36"/>
      <c r="F20" s="36"/>
      <c r="G20" s="36" t="str" cm="1">
        <f t="array" ref="G20">IntelHexChecksum(RIGHT(C20,40))</f>
        <v>11</v>
      </c>
      <c r="H20" s="36"/>
      <c r="I20" s="36"/>
      <c r="J20" s="41"/>
      <c r="V20" s="60"/>
      <c r="W20" s="62" t="str">
        <f>J5</f>
        <v>F8</v>
      </c>
      <c r="X20" s="62" t="str">
        <f>M5</f>
        <v>57</v>
      </c>
      <c r="Y20" s="62" t="str">
        <f>O5</f>
        <v>98</v>
      </c>
      <c r="Z20" s="62" t="str">
        <f>Q5</f>
        <v>A9</v>
      </c>
      <c r="AA20" s="62" t="str">
        <f>S5</f>
        <v>53</v>
      </c>
      <c r="AB20" s="60" t="s">
        <v>251</v>
      </c>
      <c r="AC20" s="60" t="s">
        <v>197</v>
      </c>
      <c r="AD20" s="60" t="s">
        <v>7</v>
      </c>
      <c r="AE20" s="60" t="s">
        <v>309</v>
      </c>
      <c r="AF20" s="60" t="s">
        <v>309</v>
      </c>
      <c r="AG20" s="60" t="s">
        <v>309</v>
      </c>
      <c r="AH20" s="60" t="s">
        <v>264</v>
      </c>
      <c r="AI20" s="60" t="s">
        <v>106</v>
      </c>
      <c r="AJ20" s="60" t="s">
        <v>145</v>
      </c>
      <c r="AK20" s="60" t="s">
        <v>102</v>
      </c>
      <c r="AL20" s="60" t="s">
        <v>317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:1074400000fc004c472050524f4a4543544f520a</v>
      </c>
      <c r="D21" s="36"/>
      <c r="E21" s="36"/>
      <c r="F21" s="36"/>
      <c r="G21" s="36" t="str" cm="1">
        <f t="array" ref="G21">IntelHexChecksum(RIGHT(C21,40))</f>
        <v>CB</v>
      </c>
      <c r="H21" s="36"/>
      <c r="I21" s="36"/>
      <c r="J21" s="41"/>
      <c r="V21" s="60"/>
      <c r="W21" s="60" t="s">
        <v>7</v>
      </c>
      <c r="X21" s="60" t="s">
        <v>104</v>
      </c>
      <c r="Y21" s="60" t="s">
        <v>193</v>
      </c>
      <c r="Z21" s="60" t="s">
        <v>194</v>
      </c>
      <c r="AA21" s="60" t="s">
        <v>7</v>
      </c>
      <c r="AB21" s="60" t="s">
        <v>7</v>
      </c>
      <c r="AC21" s="60" t="s">
        <v>77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:10745000014a020355f15a5f5f101f6464041304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204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:107460000403021220212204015d5e5f6263643f</v>
      </c>
      <c r="D23" s="36"/>
      <c r="E23" s="36"/>
      <c r="F23" s="36"/>
      <c r="G23" s="36" t="str" cm="1">
        <f t="array" ref="G23">IntelHexChecksum(RIGHT(C23,40))</f>
        <v>17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:1074700040230957076e030c001000b83c240080</v>
      </c>
      <c r="D24" s="36"/>
      <c r="E24" s="36"/>
      <c r="F24" s="36"/>
      <c r="G24" s="36" t="str" cm="1">
        <f t="array" ref="G24">IntelHexChecksum(RIGHT(C24,40))</f>
        <v>1D</v>
      </c>
      <c r="H24" s="36"/>
      <c r="I24" s="36"/>
      <c r="J24" s="41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:107480000102030468585dc40178800302e200cf</v>
      </c>
      <c r="D25" s="36"/>
      <c r="E25" s="36"/>
      <c r="F25" s="36"/>
      <c r="G25" s="36" t="str" cm="1">
        <f t="array" ref="G25">IntelHexChecksum(RIGHT(C25,40))</f>
        <v>62</v>
      </c>
      <c r="H25" s="36"/>
      <c r="I25" s="36"/>
      <c r="J25" s="41"/>
      <c r="W25" s="60" t="s">
        <v>81</v>
      </c>
      <c r="X25" s="60" t="s">
        <v>7</v>
      </c>
      <c r="Y25" s="60" t="s">
        <v>80</v>
      </c>
      <c r="Z25" s="60" t="s">
        <v>114</v>
      </c>
      <c r="AA25" s="60" t="s">
        <v>7</v>
      </c>
      <c r="AB25" s="60" t="s">
        <v>7</v>
      </c>
      <c r="AC25" s="60" t="s">
        <v>85</v>
      </c>
      <c r="AD25" s="60" t="s">
        <v>74</v>
      </c>
      <c r="AE25" s="91" t="s">
        <v>157</v>
      </c>
      <c r="AF25" s="60" t="s">
        <v>251</v>
      </c>
      <c r="AG25" s="60" t="s">
        <v>197</v>
      </c>
      <c r="AH25" s="60" t="s">
        <v>7</v>
      </c>
      <c r="AI25" s="60" t="s">
        <v>309</v>
      </c>
      <c r="AJ25" s="60" t="s">
        <v>309</v>
      </c>
      <c r="AK25" s="60" t="s">
        <v>309</v>
      </c>
      <c r="AL25" s="60" t="s">
        <v>264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:10749000e305c000e3060000e20f33eb0146d000</v>
      </c>
      <c r="D26" s="36"/>
      <c r="E26" s="36"/>
      <c r="F26" s="36"/>
      <c r="G26" s="36" t="str" cm="1">
        <f t="array" ref="G26">IntelHexChecksum(RIGHT(C26,40))</f>
        <v>35</v>
      </c>
      <c r="H26" s="36"/>
      <c r="I26" s="36"/>
      <c r="J26" s="41"/>
      <c r="W26" s="60" t="s">
        <v>106</v>
      </c>
      <c r="X26" s="60" t="s">
        <v>145</v>
      </c>
      <c r="Y26" s="60" t="s">
        <v>102</v>
      </c>
      <c r="Z26" s="60" t="s">
        <v>317</v>
      </c>
      <c r="AA26" s="60" t="s">
        <v>7</v>
      </c>
      <c r="AB26" s="60" t="s">
        <v>104</v>
      </c>
      <c r="AC26" s="60" t="s">
        <v>193</v>
      </c>
      <c r="AD26" s="60" t="s">
        <v>194</v>
      </c>
      <c r="AE26" s="60" t="s">
        <v>7</v>
      </c>
      <c r="AF26" s="60" t="s">
        <v>7</v>
      </c>
      <c r="AG26" s="60" t="s">
        <v>77</v>
      </c>
      <c r="AH26" s="60" t="s">
        <v>7</v>
      </c>
      <c r="AI26" s="60" t="s">
        <v>7</v>
      </c>
      <c r="AJ26" s="60" t="s">
        <v>7</v>
      </c>
      <c r="AK26" s="60" t="s">
        <v>7</v>
      </c>
      <c r="AL26" s="60" t="s">
        <v>7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>_xlfn.CONCAT(":10",RIGHT(B27,4),"00",AK19:AL19,W20:AJ20)</f>
        <v>:1074A0004707F85798A953565e00a0a0a0295030</v>
      </c>
      <c r="D27" s="36"/>
      <c r="E27" s="36"/>
      <c r="F27" s="36"/>
      <c r="G27" s="36" t="str" cm="1">
        <f t="array" ref="G27">IntelHexChecksum(RIGHT(C27,40))</f>
        <v>6E</v>
      </c>
      <c r="H27" s="36"/>
      <c r="I27" s="36"/>
      <c r="J27" s="41"/>
      <c r="W27" s="60" t="s">
        <v>7</v>
      </c>
      <c r="X27" s="60" t="s">
        <v>7</v>
      </c>
      <c r="Y27" s="60" t="s">
        <v>7</v>
      </c>
      <c r="Z27" s="60" t="s">
        <v>7</v>
      </c>
      <c r="AA27" s="60" t="s">
        <v>7</v>
      </c>
      <c r="AB27" s="60" t="s">
        <v>7</v>
      </c>
      <c r="AC27" s="60" t="s">
        <v>7</v>
      </c>
      <c r="AD27" s="60" t="s">
        <v>7</v>
      </c>
      <c r="AE27" s="60" t="s">
        <v>7</v>
      </c>
      <c r="AF27" s="60" t="s">
        <v>7</v>
      </c>
      <c r="AG27" s="60" t="s">
        <v>7</v>
      </c>
      <c r="AH27" s="60" t="s">
        <v>7</v>
      </c>
      <c r="AI27" s="60" t="s">
        <v>7</v>
      </c>
      <c r="AJ27" s="60" t="s">
        <v>7</v>
      </c>
      <c r="AK27" s="60" t="s">
        <v>7</v>
      </c>
      <c r="AL27" s="60" t="s">
        <v>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>_xlfn.CONCAT(":10",RIGHT(B28,4),"00",AK20:AL20,W21:AJ21)</f>
        <v>:1074B00020350040846300001e00000000000000</v>
      </c>
      <c r="D28" s="36"/>
      <c r="E28" s="36"/>
      <c r="F28" s="36"/>
      <c r="G28" s="36" t="str" cm="1">
        <f t="array" ref="G28">IntelHexChecksum(RIGHT(C28,40))</f>
        <v>32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U29" t="s">
        <v>318</v>
      </c>
      <c r="V29" s="98" t="s">
        <v>319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:1074D00000e500FFFFFFFFFFFF00371801000100</v>
      </c>
      <c r="D30" s="44"/>
      <c r="E30" s="44"/>
      <c r="F30" s="44"/>
      <c r="G30" s="44" t="str" cm="1">
        <f t="array" ref="G30">IntelHexChecksum(RIGHT(C30,40))</f>
        <v>7C</v>
      </c>
      <c r="H30" s="44"/>
      <c r="I30" s="44"/>
      <c r="J30" s="45"/>
      <c r="U30" t="s">
        <v>320</v>
      </c>
      <c r="V30" s="12">
        <f>HEX2DEC(Y18)</f>
        <v>104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U31" t="s">
        <v>321</v>
      </c>
      <c r="V31" t="str">
        <f>DEC2HEX(V30+12)</f>
        <v>74</v>
      </c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U32" t="s">
        <v>0</v>
      </c>
      <c r="V32" s="60" t="s">
        <v>205</v>
      </c>
      <c r="W32" s="60" t="s">
        <v>6</v>
      </c>
      <c r="X32" s="60">
        <v>46</v>
      </c>
      <c r="Y32" s="60" t="s">
        <v>181</v>
      </c>
      <c r="Z32" s="60" t="s">
        <v>7</v>
      </c>
      <c r="AA32" t="str">
        <f>$C$5</f>
        <v>47</v>
      </c>
      <c r="AB32" t="str">
        <f>$G$5</f>
        <v>07</v>
      </c>
      <c r="AC32" t="str">
        <f>$J$5</f>
        <v>F8</v>
      </c>
      <c r="AD32" t="str">
        <f>$M$5</f>
        <v>57</v>
      </c>
      <c r="AE32" t="str">
        <f>$O$5</f>
        <v>98</v>
      </c>
      <c r="AF32" t="str">
        <f>$Q$5</f>
        <v>A9</v>
      </c>
      <c r="AG32" t="str">
        <f>$S$5</f>
        <v>53</v>
      </c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  <dataValidation type="list" allowBlank="1" showInputMessage="1" showErrorMessage="1" sqref="G7" xr:uid="{EE03C5AE-0050-497F-8AEB-C75EDD9E6F0D}">
      <formula1>$AQ$5:$AQ$36</formula1>
    </dataValidation>
  </dataValidations>
  <hyperlinks>
    <hyperlink ref="V29" r:id="rId1" xr:uid="{2AF3FD6C-32B0-4E14-BD3A-832C4735A0D6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7D9E-4F9E-4136-A76A-1A126E04DDE9}">
  <sheetPr codeName="Sheet13"/>
  <dimension ref="B2:BC54"/>
  <sheetViews>
    <sheetView zoomScale="90" zoomScaleNormal="90" workbookViewId="0">
      <selection activeCell="D63" sqref="D6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42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48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99</v>
      </c>
      <c r="N5" s="102"/>
      <c r="O5" s="101" t="str">
        <f>BIN2HEX(_xlfn.CONCAT(O8,P8),2)</f>
        <v>32</v>
      </c>
      <c r="P5" s="102"/>
      <c r="Q5" s="101" t="str">
        <f>BIN2HEX(_xlfn.CONCAT(Q8,R8),2)</f>
        <v>1E</v>
      </c>
      <c r="R5" s="102"/>
      <c r="S5" s="101" t="str">
        <f>BIN2HEX(_xlfn.CONCAT(S8,T8),2)</f>
        <v>A7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0.3</v>
      </c>
      <c r="N7" s="33" t="s">
        <v>18</v>
      </c>
      <c r="O7" s="22">
        <f>INDEX(AY15:AY17,MATCH($I$3,$AU$15:$AU$17,0))</f>
        <v>0.6</v>
      </c>
      <c r="P7" s="33" t="s">
        <v>19</v>
      </c>
      <c r="Q7" s="22">
        <f>INDEX(AV15:AV17,MATCH($I$3,$AU$15:$AU$17,0))</f>
        <v>0.64</v>
      </c>
      <c r="R7" s="23">
        <f>INDEX(AZ15:AZ17,MATCH($I$3,$AU$15:$AU$17,0))</f>
        <v>0.15</v>
      </c>
      <c r="S7" s="9">
        <f>INDEX(AW15:AW17,MATCH($I$3,$AU$15:$AU$17,0))</f>
        <v>0.33</v>
      </c>
      <c r="T7" s="23">
        <f>INDEX(BA15:BA17,MATCH($I$3,$AU$15:$AU$17,0))</f>
        <v>0.06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1001100</v>
      </c>
      <c r="N8" s="20">
        <f>IF(AND(EXACT(N7,"Supported"),EXACT(P7,"Not Supported")),1,0)</f>
        <v>1</v>
      </c>
      <c r="O8" s="26" t="str">
        <f>DEC2BIN((O7-0.5)/((0.99609375-0.5)/127),7)</f>
        <v>0011001</v>
      </c>
      <c r="P8" s="20">
        <f>IF(AND(EXACT(P7,"Supported"),EXACT(N7,"Not Supported")),1,0)</f>
        <v>0</v>
      </c>
      <c r="Q8" s="19" t="str">
        <f>DEC2BIN((Q7-0.625)/((0.74609375-0.625)/31),5)</f>
        <v>00011</v>
      </c>
      <c r="R8" s="18" t="str">
        <f>DEC2BIN((R7-0.125)/((0.15234375-0.125)/7),3)</f>
        <v>110</v>
      </c>
      <c r="S8" s="19" t="str">
        <f>DEC2BIN((S7-0.25)/((0.37109375-0.25)/31),5)</f>
        <v>10100</v>
      </c>
      <c r="T8" s="18" t="str">
        <f>DEC2BIN((T7-0.03125)/((0.05859375-0.03125)/7),3)</f>
        <v>111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EB0146D00048034899321EA7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B5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03</v>
      </c>
      <c r="X21" s="62" t="str">
        <f>J5</f>
        <v>48</v>
      </c>
      <c r="Y21" s="62" t="str">
        <f>M5</f>
        <v>99</v>
      </c>
      <c r="Z21" s="62" t="str">
        <f>O5</f>
        <v>32</v>
      </c>
      <c r="AA21" s="62" t="str">
        <f>Q5</f>
        <v>1E</v>
      </c>
      <c r="AB21" s="62" t="str">
        <f>S5</f>
        <v>A7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188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HEX2DEC(Y15)</f>
        <v>102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72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03</v>
      </c>
      <c r="AC27" t="str">
        <f>$J$5</f>
        <v>48</v>
      </c>
      <c r="AD27" t="str">
        <f>$M$5</f>
        <v>99</v>
      </c>
      <c r="AE27" t="str">
        <f>$O$5</f>
        <v>32</v>
      </c>
      <c r="AF27" t="str">
        <f>$Q$5</f>
        <v>1E</v>
      </c>
      <c r="AG27" t="str">
        <f>$S$5</f>
        <v>A7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:1074B0000048034899321EA70000000000000000</v>
      </c>
      <c r="D28" s="36"/>
      <c r="E28" s="36"/>
      <c r="F28" s="36"/>
      <c r="G28" s="36" t="str" cm="1">
        <f t="array" ref="G28">IntelHexChecksum(RIGHT(C28,40))</f>
        <v>A9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:1074D00000ab00FFFFFFFFFFFF00371801000100</v>
      </c>
      <c r="D30" s="44"/>
      <c r="E30" s="44"/>
      <c r="F30" s="44"/>
      <c r="G30" s="44" t="str" cm="1">
        <f t="array" ref="G30">IntelHexChecksum(RIGHT(C30,40))</f>
        <v>B6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03C0A80D-90AB-4190-9F68-5C4AC8B78153}">
      <formula1>$AQ$5:$AQ$36</formula1>
    </dataValidation>
    <dataValidation type="list" allowBlank="1" showInputMessage="1" showErrorMessage="1" sqref="E7:F7 H7 N7 P7" xr:uid="{D0F5499B-0061-4979-8920-49CD3911A5DB}">
      <formula1>"Supported, Not Supported"</formula1>
    </dataValidation>
    <dataValidation type="list" allowBlank="1" showInputMessage="1" showErrorMessage="1" sqref="L7" xr:uid="{8A86A4C7-486A-4446-9749-C03958F52A53}">
      <formula1>$AU$5:$AU$8</formula1>
    </dataValidation>
    <dataValidation type="list" allowBlank="1" showInputMessage="1" showErrorMessage="1" sqref="I3" xr:uid="{8C077BC1-C7CF-46A2-937F-16C907BB0960}">
      <formula1>$AU$15:$AU$17</formula1>
    </dataValidation>
    <dataValidation type="list" allowBlank="1" showInputMessage="1" showErrorMessage="1" sqref="I7" xr:uid="{3457BCC0-77C3-454F-B749-2F51580AAD97}">
      <formula1>$AR$5:$AR$9</formula1>
    </dataValidation>
    <dataValidation type="list" allowBlank="1" showInputMessage="1" showErrorMessage="1" sqref="J7" xr:uid="{DB8627D9-01B2-4DD6-9239-03C236D1FE6B}">
      <formula1>$AN$5:$AN$36</formula1>
    </dataValidation>
  </dataValidations>
  <hyperlinks>
    <hyperlink ref="V24" r:id="rId1" xr:uid="{58C5577E-46F5-4BEF-BD56-CF2E5320CEA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C19" sqref="C19:R26"/>
    </sheetView>
  </sheetViews>
  <sheetFormatPr defaultRowHeight="14.4" x14ac:dyDescent="0.3"/>
  <cols>
    <col min="3" max="18" width="3.8984375" style="7" customWidth="1"/>
  </cols>
  <sheetData>
    <row r="1" spans="2:18" x14ac:dyDescent="0.3"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</row>
    <row r="2" spans="2:18" x14ac:dyDescent="0.3"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2:18" x14ac:dyDescent="0.3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</row>
    <row r="4" spans="2:18" x14ac:dyDescent="0.3">
      <c r="B4" s="62" t="s">
        <v>161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</row>
    <row r="5" spans="2:18" ht="15" thickBot="1" x14ac:dyDescent="0.3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</row>
    <row r="6" spans="2:18" ht="15" thickBot="1" x14ac:dyDescent="0.35">
      <c r="C6" s="81">
        <v>0</v>
      </c>
      <c r="D6" s="82">
        <v>1</v>
      </c>
      <c r="E6" s="82">
        <v>2</v>
      </c>
      <c r="F6" s="82">
        <v>3</v>
      </c>
      <c r="G6" s="82">
        <v>4</v>
      </c>
      <c r="H6" s="82">
        <v>5</v>
      </c>
      <c r="I6" s="82">
        <v>6</v>
      </c>
      <c r="J6" s="82">
        <v>7</v>
      </c>
      <c r="K6" s="82">
        <v>8</v>
      </c>
      <c r="L6" s="82">
        <v>9</v>
      </c>
      <c r="M6" s="82">
        <v>10</v>
      </c>
      <c r="N6" s="82">
        <v>11</v>
      </c>
      <c r="O6" s="82">
        <v>12</v>
      </c>
      <c r="P6" s="82">
        <v>13</v>
      </c>
      <c r="Q6" s="82">
        <v>14</v>
      </c>
      <c r="R6" s="83">
        <v>15</v>
      </c>
    </row>
    <row r="7" spans="2:18" ht="15" thickBot="1" x14ac:dyDescent="0.35">
      <c r="B7" s="62" t="s">
        <v>68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</row>
    <row r="8" spans="2:18" s="60" customFormat="1" x14ac:dyDescent="0.3">
      <c r="C8" s="63" t="s">
        <v>7</v>
      </c>
      <c r="D8" s="64" t="s">
        <v>127</v>
      </c>
      <c r="E8" s="64" t="s">
        <v>127</v>
      </c>
      <c r="F8" s="64" t="s">
        <v>127</v>
      </c>
      <c r="G8" s="64" t="s">
        <v>127</v>
      </c>
      <c r="H8" s="64" t="s">
        <v>127</v>
      </c>
      <c r="I8" s="64" t="s">
        <v>127</v>
      </c>
      <c r="J8" s="64" t="s">
        <v>7</v>
      </c>
      <c r="K8" s="64" t="s">
        <v>128</v>
      </c>
      <c r="L8" s="64" t="s">
        <v>129</v>
      </c>
      <c r="M8" s="64" t="s">
        <v>6</v>
      </c>
      <c r="N8" s="64" t="s">
        <v>7</v>
      </c>
      <c r="O8" s="64" t="s">
        <v>6</v>
      </c>
      <c r="P8" s="64" t="s">
        <v>7</v>
      </c>
      <c r="Q8" s="64" t="s">
        <v>7</v>
      </c>
      <c r="R8" s="65" t="s">
        <v>7</v>
      </c>
    </row>
    <row r="9" spans="2:18" s="60" customFormat="1" x14ac:dyDescent="0.3">
      <c r="C9" s="66" t="s">
        <v>95</v>
      </c>
      <c r="D9" s="67" t="s">
        <v>130</v>
      </c>
      <c r="E9" s="67" t="s">
        <v>6</v>
      </c>
      <c r="F9" s="67" t="s">
        <v>89</v>
      </c>
      <c r="G9" s="67" t="s">
        <v>112</v>
      </c>
      <c r="H9" s="67" t="s">
        <v>131</v>
      </c>
      <c r="I9" s="67" t="s">
        <v>132</v>
      </c>
      <c r="J9" s="67" t="s">
        <v>113</v>
      </c>
      <c r="K9" s="67" t="s">
        <v>117</v>
      </c>
      <c r="L9" s="67" t="s">
        <v>133</v>
      </c>
      <c r="M9" s="67" t="s">
        <v>134</v>
      </c>
      <c r="N9" s="67" t="s">
        <v>129</v>
      </c>
      <c r="O9" s="67" t="s">
        <v>108</v>
      </c>
      <c r="P9" s="67" t="s">
        <v>135</v>
      </c>
      <c r="Q9" s="67" t="s">
        <v>136</v>
      </c>
      <c r="R9" s="68" t="s">
        <v>137</v>
      </c>
    </row>
    <row r="10" spans="2:18" s="60" customFormat="1" x14ac:dyDescent="0.3">
      <c r="C10" s="66" t="s">
        <v>138</v>
      </c>
      <c r="D10" s="67" t="s">
        <v>139</v>
      </c>
      <c r="E10" s="67" t="s">
        <v>135</v>
      </c>
      <c r="F10" s="67" t="s">
        <v>125</v>
      </c>
      <c r="G10" s="67" t="s">
        <v>140</v>
      </c>
      <c r="H10" s="67" t="s">
        <v>7</v>
      </c>
      <c r="I10" s="67" t="s">
        <v>141</v>
      </c>
      <c r="J10" s="67" t="s">
        <v>112</v>
      </c>
      <c r="K10" s="67" t="s">
        <v>142</v>
      </c>
      <c r="L10" s="67" t="s">
        <v>104</v>
      </c>
      <c r="M10" s="67" t="s">
        <v>91</v>
      </c>
      <c r="N10" s="67" t="s">
        <v>104</v>
      </c>
      <c r="O10" s="67" t="s">
        <v>143</v>
      </c>
      <c r="P10" s="67" t="s">
        <v>7</v>
      </c>
      <c r="Q10" s="67" t="s">
        <v>6</v>
      </c>
      <c r="R10" s="68" t="s">
        <v>6</v>
      </c>
    </row>
    <row r="11" spans="2:18" s="60" customFormat="1" x14ac:dyDescent="0.3">
      <c r="C11" s="66" t="s">
        <v>6</v>
      </c>
      <c r="D11" s="67" t="s">
        <v>6</v>
      </c>
      <c r="E11" s="67" t="s">
        <v>6</v>
      </c>
      <c r="F11" s="67" t="s">
        <v>6</v>
      </c>
      <c r="G11" s="67" t="s">
        <v>6</v>
      </c>
      <c r="H11" s="67" t="s">
        <v>6</v>
      </c>
      <c r="I11" s="67" t="s">
        <v>140</v>
      </c>
      <c r="J11" s="67" t="s">
        <v>144</v>
      </c>
      <c r="K11" s="67" t="s">
        <v>7</v>
      </c>
      <c r="L11" s="67" t="s">
        <v>145</v>
      </c>
      <c r="M11" s="67" t="s">
        <v>71</v>
      </c>
      <c r="N11" s="67" t="s">
        <v>146</v>
      </c>
      <c r="O11" s="67" t="s">
        <v>147</v>
      </c>
      <c r="P11" s="67" t="s">
        <v>112</v>
      </c>
      <c r="Q11" s="67" t="s">
        <v>136</v>
      </c>
      <c r="R11" s="68" t="s">
        <v>148</v>
      </c>
    </row>
    <row r="12" spans="2:18" s="60" customFormat="1" x14ac:dyDescent="0.3">
      <c r="C12" s="66" t="s">
        <v>119</v>
      </c>
      <c r="D12" s="67" t="s">
        <v>7</v>
      </c>
      <c r="E12" s="67" t="s">
        <v>106</v>
      </c>
      <c r="F12" s="67" t="s">
        <v>149</v>
      </c>
      <c r="G12" s="67" t="s">
        <v>134</v>
      </c>
      <c r="H12" s="67" t="s">
        <v>7</v>
      </c>
      <c r="I12" s="67" t="s">
        <v>7</v>
      </c>
      <c r="J12" s="67" t="s">
        <v>77</v>
      </c>
      <c r="K12" s="67" t="s">
        <v>88</v>
      </c>
      <c r="L12" s="67" t="s">
        <v>150</v>
      </c>
      <c r="M12" s="67" t="s">
        <v>112</v>
      </c>
      <c r="N12" s="67" t="s">
        <v>126</v>
      </c>
      <c r="O12" s="67" t="s">
        <v>151</v>
      </c>
      <c r="P12" s="67" t="s">
        <v>111</v>
      </c>
      <c r="Q12" s="67" t="s">
        <v>121</v>
      </c>
      <c r="R12" s="68" t="s">
        <v>104</v>
      </c>
    </row>
    <row r="13" spans="2:18" s="60" customFormat="1" x14ac:dyDescent="0.3">
      <c r="C13" s="66" t="s">
        <v>148</v>
      </c>
      <c r="D13" s="67" t="s">
        <v>152</v>
      </c>
      <c r="E13" s="67" t="s">
        <v>142</v>
      </c>
      <c r="F13" s="67" t="s">
        <v>7</v>
      </c>
      <c r="G13" s="67" t="s">
        <v>106</v>
      </c>
      <c r="H13" s="67" t="s">
        <v>149</v>
      </c>
      <c r="I13" s="67" t="s">
        <v>134</v>
      </c>
      <c r="J13" s="67" t="s">
        <v>7</v>
      </c>
      <c r="K13" s="67" t="s">
        <v>7</v>
      </c>
      <c r="L13" s="67" t="s">
        <v>77</v>
      </c>
      <c r="M13" s="67" t="s">
        <v>7</v>
      </c>
      <c r="N13" s="67" t="s">
        <v>7</v>
      </c>
      <c r="O13" s="67" t="s">
        <v>7</v>
      </c>
      <c r="P13" s="67" t="s">
        <v>153</v>
      </c>
      <c r="Q13" s="67" t="s">
        <v>7</v>
      </c>
      <c r="R13" s="68" t="s">
        <v>154</v>
      </c>
    </row>
    <row r="14" spans="2:18" s="60" customFormat="1" x14ac:dyDescent="0.3">
      <c r="C14" s="66" t="s">
        <v>142</v>
      </c>
      <c r="D14" s="67" t="s">
        <v>155</v>
      </c>
      <c r="E14" s="67" t="s">
        <v>121</v>
      </c>
      <c r="F14" s="67" t="s">
        <v>156</v>
      </c>
      <c r="G14" s="67" t="s">
        <v>121</v>
      </c>
      <c r="H14" s="67" t="s">
        <v>157</v>
      </c>
      <c r="I14" s="67" t="s">
        <v>121</v>
      </c>
      <c r="J14" s="67" t="s">
        <v>139</v>
      </c>
      <c r="K14" s="67" t="s">
        <v>117</v>
      </c>
      <c r="L14" s="67" t="s">
        <v>102</v>
      </c>
      <c r="M14" s="67" t="s">
        <v>102</v>
      </c>
      <c r="N14" s="67" t="s">
        <v>102</v>
      </c>
      <c r="O14" s="67" t="s">
        <v>7</v>
      </c>
      <c r="P14" s="67" t="s">
        <v>7</v>
      </c>
      <c r="Q14" s="67" t="s">
        <v>7</v>
      </c>
      <c r="R14" s="68" t="s">
        <v>158</v>
      </c>
    </row>
    <row r="15" spans="2:18" s="60" customFormat="1" ht="15" thickBot="1" x14ac:dyDescent="0.35">
      <c r="C15" s="69" t="s">
        <v>7</v>
      </c>
      <c r="D15" s="70" t="s">
        <v>126</v>
      </c>
      <c r="E15" s="70" t="s">
        <v>159</v>
      </c>
      <c r="F15" s="70" t="s">
        <v>74</v>
      </c>
      <c r="G15" s="70" t="s">
        <v>160</v>
      </c>
      <c r="H15" s="70" t="s">
        <v>84</v>
      </c>
      <c r="I15" s="70" t="s">
        <v>7</v>
      </c>
      <c r="J15" s="70" t="s">
        <v>117</v>
      </c>
      <c r="K15" s="70" t="s">
        <v>102</v>
      </c>
      <c r="L15" s="70" t="s">
        <v>102</v>
      </c>
      <c r="M15" s="70" t="s">
        <v>102</v>
      </c>
      <c r="N15" s="70" t="s">
        <v>102</v>
      </c>
      <c r="O15" s="70" t="s">
        <v>102</v>
      </c>
      <c r="P15" s="70" t="s">
        <v>102</v>
      </c>
      <c r="Q15" s="70" t="s">
        <v>6</v>
      </c>
      <c r="R15" s="71" t="s">
        <v>139</v>
      </c>
    </row>
    <row r="16" spans="2:18" s="60" customFormat="1" x14ac:dyDescent="0.3"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2:18" s="60" customFormat="1" x14ac:dyDescent="0.3"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2:18" ht="15" thickBot="1" x14ac:dyDescent="0.35">
      <c r="B18" s="62" t="s">
        <v>69</v>
      </c>
    </row>
    <row r="19" spans="2:18" s="60" customFormat="1" x14ac:dyDescent="0.3">
      <c r="C19" s="73" t="s">
        <v>88</v>
      </c>
      <c r="D19" s="74" t="s">
        <v>89</v>
      </c>
      <c r="E19" s="74" t="s">
        <v>70</v>
      </c>
      <c r="F19" s="74" t="s">
        <v>71</v>
      </c>
      <c r="G19" s="74" t="s">
        <v>90</v>
      </c>
      <c r="H19" s="74" t="s">
        <v>91</v>
      </c>
      <c r="I19" s="74" t="s">
        <v>92</v>
      </c>
      <c r="J19" s="74" t="s">
        <v>93</v>
      </c>
      <c r="K19" s="74" t="s">
        <v>94</v>
      </c>
      <c r="L19" s="74" t="s">
        <v>6</v>
      </c>
      <c r="M19" s="74" t="s">
        <v>89</v>
      </c>
      <c r="N19" s="74" t="s">
        <v>95</v>
      </c>
      <c r="O19" s="74" t="s">
        <v>96</v>
      </c>
      <c r="P19" s="74" t="s">
        <v>97</v>
      </c>
      <c r="Q19" s="74" t="s">
        <v>28</v>
      </c>
      <c r="R19" s="75" t="s">
        <v>98</v>
      </c>
    </row>
    <row r="20" spans="2:18" s="60" customFormat="1" x14ac:dyDescent="0.3">
      <c r="C20" s="76" t="s">
        <v>99</v>
      </c>
      <c r="D20" s="77" t="s">
        <v>100</v>
      </c>
      <c r="E20" s="77" t="s">
        <v>101</v>
      </c>
      <c r="F20" s="77" t="s">
        <v>72</v>
      </c>
      <c r="G20" s="77" t="s">
        <v>102</v>
      </c>
      <c r="H20" s="77" t="s">
        <v>103</v>
      </c>
      <c r="I20" s="77" t="s">
        <v>73</v>
      </c>
      <c r="J20" s="77" t="s">
        <v>104</v>
      </c>
      <c r="K20" s="77" t="s">
        <v>105</v>
      </c>
      <c r="L20" s="77" t="s">
        <v>74</v>
      </c>
      <c r="M20" s="77" t="s">
        <v>75</v>
      </c>
      <c r="N20" s="77" t="s">
        <v>97</v>
      </c>
      <c r="O20" s="77" t="s">
        <v>76</v>
      </c>
      <c r="P20" s="77" t="s">
        <v>77</v>
      </c>
      <c r="Q20" s="77" t="s">
        <v>106</v>
      </c>
      <c r="R20" s="78" t="s">
        <v>107</v>
      </c>
    </row>
    <row r="21" spans="2:18" s="60" customFormat="1" x14ac:dyDescent="0.3">
      <c r="C21" s="76" t="s">
        <v>97</v>
      </c>
      <c r="D21" s="77" t="s">
        <v>106</v>
      </c>
      <c r="E21" s="77" t="s">
        <v>78</v>
      </c>
      <c r="F21" s="77" t="s">
        <v>79</v>
      </c>
      <c r="G21" s="77" t="s">
        <v>6</v>
      </c>
      <c r="H21" s="77" t="s">
        <v>108</v>
      </c>
      <c r="I21" s="77" t="s">
        <v>97</v>
      </c>
      <c r="J21" s="77" t="s">
        <v>6</v>
      </c>
      <c r="K21" s="77" t="s">
        <v>109</v>
      </c>
      <c r="L21" s="77" t="s">
        <v>79</v>
      </c>
      <c r="M21" s="77" t="s">
        <v>89</v>
      </c>
      <c r="N21" s="77" t="s">
        <v>110</v>
      </c>
      <c r="O21" s="77" t="s">
        <v>78</v>
      </c>
      <c r="P21" s="77" t="s">
        <v>7</v>
      </c>
      <c r="Q21" s="77" t="s">
        <v>7</v>
      </c>
      <c r="R21" s="78" t="s">
        <v>80</v>
      </c>
    </row>
    <row r="22" spans="2:18" s="60" customFormat="1" x14ac:dyDescent="0.3">
      <c r="C22" s="76" t="s">
        <v>96</v>
      </c>
      <c r="D22" s="77" t="s">
        <v>81</v>
      </c>
      <c r="E22" s="77" t="s">
        <v>7</v>
      </c>
      <c r="F22" s="77" t="s">
        <v>82</v>
      </c>
      <c r="G22" s="77" t="s">
        <v>89</v>
      </c>
      <c r="H22" s="77" t="s">
        <v>83</v>
      </c>
      <c r="I22" s="77" t="s">
        <v>7</v>
      </c>
      <c r="J22" s="77" t="s">
        <v>29</v>
      </c>
      <c r="K22" s="77" t="s">
        <v>7</v>
      </c>
      <c r="L22" s="77" t="s">
        <v>111</v>
      </c>
      <c r="M22" s="77" t="s">
        <v>84</v>
      </c>
      <c r="N22" s="77" t="s">
        <v>102</v>
      </c>
      <c r="O22" s="77" t="s">
        <v>112</v>
      </c>
      <c r="P22" s="77" t="s">
        <v>112</v>
      </c>
      <c r="Q22" s="77" t="s">
        <v>6</v>
      </c>
      <c r="R22" s="78" t="s">
        <v>88</v>
      </c>
    </row>
    <row r="23" spans="2:18" s="60" customFormat="1" x14ac:dyDescent="0.3">
      <c r="C23" s="76" t="s">
        <v>89</v>
      </c>
      <c r="D23" s="77" t="s">
        <v>95</v>
      </c>
      <c r="E23" s="77" t="s">
        <v>85</v>
      </c>
      <c r="F23" s="77" t="s">
        <v>74</v>
      </c>
      <c r="G23" s="77" t="s">
        <v>74</v>
      </c>
      <c r="H23" s="77" t="s">
        <v>109</v>
      </c>
      <c r="I23" s="77" t="s">
        <v>86</v>
      </c>
      <c r="J23" s="77" t="s">
        <v>70</v>
      </c>
      <c r="K23" s="77" t="s">
        <v>87</v>
      </c>
      <c r="L23" s="77" t="s">
        <v>6</v>
      </c>
      <c r="M23" s="77" t="s">
        <v>113</v>
      </c>
      <c r="N23" s="77" t="s">
        <v>112</v>
      </c>
      <c r="O23" s="77" t="s">
        <v>89</v>
      </c>
      <c r="P23" s="77" t="s">
        <v>80</v>
      </c>
      <c r="Q23" s="77" t="s">
        <v>114</v>
      </c>
      <c r="R23" s="78" t="s">
        <v>96</v>
      </c>
    </row>
    <row r="24" spans="2:18" s="60" customFormat="1" x14ac:dyDescent="0.3">
      <c r="C24" s="76" t="s">
        <v>6</v>
      </c>
      <c r="D24" s="84" t="s">
        <v>115</v>
      </c>
      <c r="E24" s="84" t="s">
        <v>115</v>
      </c>
      <c r="F24" s="84" t="s">
        <v>115</v>
      </c>
      <c r="G24" s="84" t="s">
        <v>115</v>
      </c>
      <c r="H24" s="84" t="s">
        <v>115</v>
      </c>
      <c r="I24" s="84" t="s">
        <v>115</v>
      </c>
      <c r="J24" s="84" t="s">
        <v>115</v>
      </c>
      <c r="K24" s="84" t="s">
        <v>115</v>
      </c>
      <c r="L24" s="84" t="s">
        <v>115</v>
      </c>
      <c r="M24" s="84" t="s">
        <v>115</v>
      </c>
      <c r="N24" s="84" t="s">
        <v>115</v>
      </c>
      <c r="O24" s="84" t="s">
        <v>115</v>
      </c>
      <c r="P24" s="77" t="s">
        <v>116</v>
      </c>
      <c r="Q24" s="77" t="s">
        <v>117</v>
      </c>
      <c r="R24" s="78" t="s">
        <v>118</v>
      </c>
    </row>
    <row r="25" spans="2:18" s="60" customFormat="1" x14ac:dyDescent="0.3">
      <c r="C25" s="76" t="s">
        <v>119</v>
      </c>
      <c r="D25" s="77" t="s">
        <v>102</v>
      </c>
      <c r="E25" s="77" t="s">
        <v>120</v>
      </c>
      <c r="F25" s="77" t="s">
        <v>121</v>
      </c>
      <c r="G25" s="77" t="s">
        <v>28</v>
      </c>
      <c r="H25" s="77" t="s">
        <v>28</v>
      </c>
      <c r="I25" s="77" t="s">
        <v>122</v>
      </c>
      <c r="J25" s="77" t="s">
        <v>124</v>
      </c>
      <c r="K25" s="77" t="s">
        <v>7</v>
      </c>
      <c r="L25" s="77" t="s">
        <v>87</v>
      </c>
      <c r="M25" s="77" t="s">
        <v>123</v>
      </c>
      <c r="N25" s="77" t="s">
        <v>125</v>
      </c>
      <c r="O25" s="77" t="s">
        <v>7</v>
      </c>
      <c r="P25" s="77" t="s">
        <v>7</v>
      </c>
      <c r="Q25" s="77" t="s">
        <v>126</v>
      </c>
      <c r="R25" s="78" t="s">
        <v>7</v>
      </c>
    </row>
    <row r="26" spans="2:18" s="60" customFormat="1" ht="15" thickBot="1" x14ac:dyDescent="0.35">
      <c r="C26" s="79" t="s">
        <v>7</v>
      </c>
      <c r="D26" s="80" t="s">
        <v>7</v>
      </c>
      <c r="E26" s="80" t="s">
        <v>7</v>
      </c>
      <c r="F26" s="80" t="s">
        <v>7</v>
      </c>
      <c r="G26" s="80" t="s">
        <v>7</v>
      </c>
      <c r="H26" s="80" t="s">
        <v>7</v>
      </c>
      <c r="I26" s="80" t="s">
        <v>7</v>
      </c>
      <c r="J26" s="80" t="s">
        <v>7</v>
      </c>
      <c r="K26" s="80" t="s">
        <v>7</v>
      </c>
      <c r="L26" s="80" t="s">
        <v>7</v>
      </c>
      <c r="M26" s="80" t="s">
        <v>7</v>
      </c>
      <c r="N26" s="80" t="s">
        <v>7</v>
      </c>
      <c r="O26" s="80" t="s">
        <v>7</v>
      </c>
      <c r="P26" s="80" t="s">
        <v>7</v>
      </c>
      <c r="Q26" s="80" t="s">
        <v>7</v>
      </c>
      <c r="R26" s="85" t="s">
        <v>92</v>
      </c>
    </row>
    <row r="27" spans="2:18" s="60" customFormat="1" x14ac:dyDescent="0.3"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</row>
    <row r="28" spans="2:18" s="60" customFormat="1" x14ac:dyDescent="0.3"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</row>
    <row r="29" spans="2:18" s="60" customFormat="1" x14ac:dyDescent="0.3"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</row>
    <row r="30" spans="2:18" s="60" customFormat="1" x14ac:dyDescent="0.3"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</row>
    <row r="31" spans="2:18" s="60" customFormat="1" x14ac:dyDescent="0.3"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</row>
    <row r="32" spans="2:18" s="60" customFormat="1" x14ac:dyDescent="0.3"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</row>
    <row r="33" spans="3:18" s="60" customFormat="1" x14ac:dyDescent="0.3"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Patcher</vt:lpstr>
      <vt:lpstr>Custom DV</vt:lpstr>
      <vt:lpstr>Custom EDID-EZCOO</vt:lpstr>
      <vt:lpstr>Custom EDID-EZCOO 30Hz</vt:lpstr>
      <vt:lpstr>Custom EDID-JVC-RS640</vt:lpstr>
      <vt:lpstr>Custom EDID-Epson5040UB</vt:lpstr>
      <vt:lpstr>Custom EDID-Epson5050UB</vt:lpstr>
      <vt:lpstr>Custom EDID-LS10500</vt:lpstr>
      <vt:lpstr>Custom EDID-VAVA</vt:lpstr>
      <vt:lpstr>Custom EDID-LS12000</vt:lpstr>
      <vt:lpstr>Custom EDID-LS12000-Native</vt:lpstr>
      <vt:lpstr>Custom EDID-JVC-RS400</vt:lpstr>
      <vt:lpstr>Custom EDID-Formovie T1</vt:lpstr>
      <vt:lpstr>Custom EDID-EpsonDH</vt:lpstr>
      <vt:lpstr>Custom EDID-LG HU810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2023-06-12T03:24:32Z</dcterms:modified>
</cp:coreProperties>
</file>