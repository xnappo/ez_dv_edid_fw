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P12H2\"/>
    </mc:Choice>
  </mc:AlternateContent>
  <xr:revisionPtr revIDLastSave="0" documentId="13_ncr:1_{BD35A7F3-16EF-4228-8A84-1E6D85E4C577}" xr6:coauthVersionLast="47" xr6:coauthVersionMax="47" xr10:uidLastSave="{00000000-0000-0000-0000-000000000000}"/>
  <bookViews>
    <workbookView xWindow="-104" yWindow="-104" windowWidth="44444" windowHeight="23881" firstSheet="5" activeTab="12" xr2:uid="{DE808AFE-8AFE-4111-8161-9EF8B03B2A2C}"/>
  </bookViews>
  <sheets>
    <sheet name="Patcher" sheetId="1" r:id="rId1"/>
    <sheet name="Custom DV" sheetId="5" r:id="rId2"/>
    <sheet name="Custom EDID-EZCOO 30Hz" sheetId="15" r:id="rId3"/>
    <sheet name="Custom EDID-Epson5040UB" sheetId="14" r:id="rId4"/>
    <sheet name="Custom EDID-Epson5050UB" sheetId="16" r:id="rId5"/>
    <sheet name="Custom EDID-LS10500" sheetId="6" r:id="rId6"/>
    <sheet name="Custom EDID-VAVA" sheetId="7" r:id="rId7"/>
    <sheet name="Custom EDID-LS12000" sheetId="8" r:id="rId8"/>
    <sheet name="Custom EDID-JVC-RS400" sheetId="10" r:id="rId9"/>
    <sheet name="Custom EDID-Formovie T1" sheetId="11" r:id="rId10"/>
    <sheet name="Custom EDID-EpsonDH" sheetId="12" r:id="rId11"/>
    <sheet name="Custom EDID-LG HU810" sheetId="9" r:id="rId12"/>
    <sheet name="Custom EDID-Template" sheetId="13" r:id="rId13"/>
    <sheet name="EDID" sheetId="3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5" i="13" l="1"/>
  <c r="AE20" i="16"/>
  <c r="AD20" i="16"/>
  <c r="AC20" i="16"/>
  <c r="AB20" i="16"/>
  <c r="AA20" i="16"/>
  <c r="Z20" i="16"/>
  <c r="Y20" i="16"/>
  <c r="V25" i="16"/>
  <c r="V26" i="16" s="1"/>
  <c r="C30" i="16"/>
  <c r="C29" i="16"/>
  <c r="C28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P8" i="16"/>
  <c r="O8" i="16"/>
  <c r="N8" i="16"/>
  <c r="M8" i="16"/>
  <c r="M5" i="16" s="1"/>
  <c r="L8" i="16"/>
  <c r="I8" i="16"/>
  <c r="H8" i="16"/>
  <c r="F8" i="16"/>
  <c r="E8" i="16"/>
  <c r="C5" i="16" s="1"/>
  <c r="T7" i="16"/>
  <c r="T8" i="16" s="1"/>
  <c r="S7" i="16"/>
  <c r="S8" i="16" s="1"/>
  <c r="R7" i="16"/>
  <c r="R8" i="16" s="1"/>
  <c r="Q7" i="16"/>
  <c r="Q8" i="16" s="1"/>
  <c r="O7" i="16"/>
  <c r="M7" i="16"/>
  <c r="O5" i="16"/>
  <c r="V25" i="15"/>
  <c r="V26" i="15" s="1"/>
  <c r="AB21" i="15"/>
  <c r="AA21" i="15"/>
  <c r="Z21" i="15"/>
  <c r="Y21" i="15"/>
  <c r="AL20" i="15"/>
  <c r="C30" i="15"/>
  <c r="C29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P8" i="15"/>
  <c r="N8" i="15"/>
  <c r="L8" i="15"/>
  <c r="I8" i="15"/>
  <c r="H8" i="15"/>
  <c r="F8" i="15"/>
  <c r="E8" i="15"/>
  <c r="T7" i="15"/>
  <c r="T8" i="15" s="1"/>
  <c r="S7" i="15"/>
  <c r="S8" i="15" s="1"/>
  <c r="R7" i="15"/>
  <c r="R8" i="15" s="1"/>
  <c r="Q7" i="15"/>
  <c r="Q8" i="15" s="1"/>
  <c r="Q5" i="15" s="1"/>
  <c r="O7" i="15"/>
  <c r="O8" i="15" s="1"/>
  <c r="O5" i="15" s="1"/>
  <c r="M7" i="15"/>
  <c r="M8" i="15" s="1"/>
  <c r="M5" i="15" s="1"/>
  <c r="C5" i="15"/>
  <c r="AA27" i="15" s="1"/>
  <c r="C30" i="14"/>
  <c r="C29" i="14"/>
  <c r="C28" i="14"/>
  <c r="C27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AP35" i="16" a="1"/>
  <c r="AQ33" i="16" a="1"/>
  <c r="AP31" i="16" a="1"/>
  <c r="AP26" i="16" a="1"/>
  <c r="AQ24" i="16" a="1"/>
  <c r="AQ23" i="16" a="1"/>
  <c r="AQ22" i="16" a="1"/>
  <c r="AQ21" i="16" a="1"/>
  <c r="AQ20" i="16" a="1"/>
  <c r="AP19" i="16" a="1"/>
  <c r="AP12" i="16" a="1"/>
  <c r="AQ11" i="16" a="1"/>
  <c r="AP9" i="16" a="1"/>
  <c r="AP6" i="16" a="1"/>
  <c r="AQ33" i="15" a="1"/>
  <c r="AQ23" i="15" a="1"/>
  <c r="G29" i="15" a="1"/>
  <c r="AQ36" i="16" a="1"/>
  <c r="AP36" i="16" a="1"/>
  <c r="AQ34" i="16" a="1"/>
  <c r="AP32" i="16" a="1"/>
  <c r="AQ30" i="16" a="1"/>
  <c r="AQ29" i="16" a="1"/>
  <c r="AQ28" i="16" a="1"/>
  <c r="AQ27" i="16" a="1"/>
  <c r="AQ25" i="16" a="1"/>
  <c r="AQ18" i="16" a="1"/>
  <c r="AQ17" i="16" a="1"/>
  <c r="AQ16" i="16" a="1"/>
  <c r="AQ15" i="16" a="1"/>
  <c r="AQ14" i="16" a="1"/>
  <c r="AQ13" i="16" a="1"/>
  <c r="AP10" i="16" a="1"/>
  <c r="AQ8" i="16" a="1"/>
  <c r="AQ7" i="16" a="1"/>
  <c r="AQ5" i="16" a="1"/>
  <c r="AP35" i="15" a="1"/>
  <c r="AQ24" i="15" a="1"/>
  <c r="AP20" i="15" a="1"/>
  <c r="AP6" i="15" a="1"/>
  <c r="AQ32" i="15" a="1"/>
  <c r="AP27" i="15" a="1"/>
  <c r="G23" i="15" a="1"/>
  <c r="AP17" i="15" a="1"/>
  <c r="AP13" i="15" a="1"/>
  <c r="AQ35" i="15" a="1"/>
  <c r="AP24" i="15" a="1"/>
  <c r="AQ20" i="15" a="1"/>
  <c r="AQ6" i="15" a="1"/>
  <c r="AQ8" i="15" a="1"/>
  <c r="AQ34" i="15" a="1"/>
  <c r="AQ28" i="15" a="1"/>
  <c r="AQ19" i="15" a="1"/>
  <c r="AQ13" i="15" a="1"/>
  <c r="G14" i="15" a="1"/>
  <c r="G16" i="15" a="1"/>
  <c r="AP12" i="15" a="1"/>
  <c r="AP5" i="15" a="1"/>
  <c r="AP30" i="15" a="1"/>
  <c r="AP25" i="15" a="1"/>
  <c r="G22" i="15" a="1"/>
  <c r="AP16" i="15" a="1"/>
  <c r="AQ10" i="15" a="1"/>
  <c r="AP33" i="15" a="1"/>
  <c r="AP23" i="15" a="1"/>
  <c r="AQ12" i="15" a="1"/>
  <c r="G21" i="15" a="1"/>
  <c r="AQ7" i="15" a="1"/>
  <c r="AP32" i="15" a="1"/>
  <c r="AQ27" i="15" a="1"/>
  <c r="AQ18" i="15" a="1"/>
  <c r="AP10" i="15" a="1"/>
  <c r="G26" i="15" a="1"/>
  <c r="AP34" i="16" a="1"/>
  <c r="AQ32" i="16" a="1"/>
  <c r="AP30" i="16" a="1"/>
  <c r="AQ35" i="16" a="1"/>
  <c r="AP33" i="16" a="1"/>
  <c r="G20" i="16" a="1"/>
  <c r="AQ12" i="16" a="1"/>
  <c r="AP11" i="16" a="1"/>
  <c r="AQ9" i="16" a="1"/>
  <c r="AQ22" i="15" a="1"/>
  <c r="AQ36" i="15" a="1"/>
  <c r="G25" i="15" a="1"/>
  <c r="AP15" i="15" a="1"/>
  <c r="AQ31" i="15" a="1"/>
  <c r="AP11" i="15" a="1"/>
  <c r="AQ5" i="15" a="1"/>
  <c r="G27" i="15" a="1"/>
  <c r="G30" i="15" a="1"/>
  <c r="G19" i="15" a="1"/>
  <c r="G29" i="16" a="1"/>
  <c r="G28" i="16" a="1"/>
  <c r="AP24" i="16" a="1"/>
  <c r="AP23" i="16" a="1"/>
  <c r="AP22" i="16" a="1"/>
  <c r="AP21" i="16" a="1"/>
  <c r="AP20" i="16" a="1"/>
  <c r="AP18" i="16" a="1"/>
  <c r="AP17" i="16" a="1"/>
  <c r="AP16" i="16" a="1"/>
  <c r="AP15" i="16" a="1"/>
  <c r="AP14" i="16" a="1"/>
  <c r="AP13" i="16" a="1"/>
  <c r="AQ10" i="16" a="1"/>
  <c r="AP7" i="16" a="1"/>
  <c r="AP5" i="16" a="1"/>
  <c r="AP36" i="15" a="1"/>
  <c r="G15" i="15" a="1"/>
  <c r="AQ11" i="15" a="1"/>
  <c r="AP19" i="15" a="1"/>
  <c r="AP22" i="15" a="1"/>
  <c r="AQ30" i="15" a="1"/>
  <c r="G17" i="15" a="1"/>
  <c r="AP29" i="16" a="1"/>
  <c r="G18" i="16" a="1"/>
  <c r="G16" i="16" a="1"/>
  <c r="G30" i="16" a="1"/>
  <c r="AQ21" i="15" a="1"/>
  <c r="AP34" i="15" a="1"/>
  <c r="G24" i="15" a="1"/>
  <c r="AP14" i="15" a="1"/>
  <c r="AQ26" i="15" a="1"/>
  <c r="AQ9" i="15" a="1"/>
  <c r="AQ25" i="15" a="1"/>
  <c r="G18" i="15" a="1"/>
  <c r="AQ6" i="16" a="1"/>
  <c r="AP31" i="15" a="1"/>
  <c r="AP8" i="15" a="1"/>
  <c r="AQ17" i="15" a="1"/>
  <c r="AQ16" i="15" a="1"/>
  <c r="AP28" i="16" a="1"/>
  <c r="AP27" i="16" a="1"/>
  <c r="G17" i="16" a="1"/>
  <c r="G15" i="16" a="1"/>
  <c r="AP8" i="16" a="1"/>
  <c r="AP26" i="15" a="1"/>
  <c r="AP9" i="15" a="1"/>
  <c r="AP28" i="15" a="1"/>
  <c r="AP18" i="15" a="1"/>
  <c r="AP21" i="15" a="1"/>
  <c r="AQ14" i="15" a="1"/>
  <c r="AQ29" i="15" a="1"/>
  <c r="G20" i="15" a="1"/>
  <c r="AQ31" i="16" a="1"/>
  <c r="AQ26" i="16" a="1"/>
  <c r="AQ19" i="16" a="1"/>
  <c r="AP29" i="15" a="1"/>
  <c r="AP25" i="16" a="1"/>
  <c r="G19" i="16" a="1"/>
  <c r="G14" i="16" a="1"/>
  <c r="AP7" i="15" a="1"/>
  <c r="AQ15" i="15" a="1"/>
  <c r="G22" i="16" a="1"/>
  <c r="G25" i="16" a="1"/>
  <c r="G21" i="16" a="1"/>
  <c r="G24" i="16" a="1"/>
  <c r="G23" i="16" a="1"/>
  <c r="G23" i="16" l="1"/>
  <c r="G24" i="16"/>
  <c r="G21" i="16"/>
  <c r="G25" i="16"/>
  <c r="G22" i="16"/>
  <c r="G14" i="16"/>
  <c r="G19" i="16"/>
  <c r="AP25" i="16"/>
  <c r="AN25" i="16" s="1"/>
  <c r="AQ19" i="16"/>
  <c r="AQ26" i="16"/>
  <c r="AQ31" i="16"/>
  <c r="AP8" i="16"/>
  <c r="AN8" i="16" s="1"/>
  <c r="G15" i="16"/>
  <c r="G17" i="16"/>
  <c r="AP27" i="16"/>
  <c r="AN27" i="16" s="1"/>
  <c r="AP28" i="16"/>
  <c r="AN28" i="16" s="1"/>
  <c r="AQ6" i="16"/>
  <c r="G30" i="16"/>
  <c r="G16" i="16"/>
  <c r="G18" i="16"/>
  <c r="AP29" i="16"/>
  <c r="AN29" i="16" s="1"/>
  <c r="AP5" i="16"/>
  <c r="AN5" i="16" s="1"/>
  <c r="AP7" i="16"/>
  <c r="AN7" i="16" s="1"/>
  <c r="AQ10" i="16"/>
  <c r="AP13" i="16"/>
  <c r="AN13" i="16" s="1"/>
  <c r="AP14" i="16"/>
  <c r="AN14" i="16" s="1"/>
  <c r="AP15" i="16"/>
  <c r="AN15" i="16" s="1"/>
  <c r="AP16" i="16"/>
  <c r="AN16" i="16" s="1"/>
  <c r="AP17" i="16"/>
  <c r="AN17" i="16" s="1"/>
  <c r="AP18" i="16"/>
  <c r="AN18" i="16" s="1"/>
  <c r="AP20" i="16"/>
  <c r="AN20" i="16" s="1"/>
  <c r="AP21" i="16"/>
  <c r="AN21" i="16" s="1"/>
  <c r="AP22" i="16"/>
  <c r="AN22" i="16" s="1"/>
  <c r="AP23" i="16"/>
  <c r="AN23" i="16" s="1"/>
  <c r="AP24" i="16"/>
  <c r="AN24" i="16" s="1"/>
  <c r="G28" i="16"/>
  <c r="G29" i="16"/>
  <c r="AQ9" i="16"/>
  <c r="AP11" i="16"/>
  <c r="AN11" i="16" s="1"/>
  <c r="AQ12" i="16"/>
  <c r="G20" i="16"/>
  <c r="AP33" i="16"/>
  <c r="AN33" i="16" s="1"/>
  <c r="AQ35" i="16"/>
  <c r="AP30" i="16"/>
  <c r="AN30" i="16" s="1"/>
  <c r="AQ32" i="16"/>
  <c r="AP34" i="16"/>
  <c r="AN34" i="16" s="1"/>
  <c r="AQ5" i="16"/>
  <c r="G8" i="16" s="1"/>
  <c r="G5" i="16" s="1"/>
  <c r="AQ7" i="16"/>
  <c r="AQ8" i="16"/>
  <c r="AP10" i="16"/>
  <c r="AN10" i="16" s="1"/>
  <c r="AQ13" i="16"/>
  <c r="AQ14" i="16"/>
  <c r="AQ15" i="16"/>
  <c r="AQ16" i="16"/>
  <c r="AQ17" i="16"/>
  <c r="AQ18" i="16"/>
  <c r="AQ25" i="16"/>
  <c r="AQ27" i="16"/>
  <c r="AQ28" i="16"/>
  <c r="AQ29" i="16"/>
  <c r="AQ30" i="16"/>
  <c r="AP32" i="16"/>
  <c r="AN32" i="16" s="1"/>
  <c r="AQ34" i="16"/>
  <c r="AP36" i="16"/>
  <c r="AN36" i="16" s="1"/>
  <c r="AQ36" i="16"/>
  <c r="AP6" i="16"/>
  <c r="AN6" i="16" s="1"/>
  <c r="AP9" i="16"/>
  <c r="AN9" i="16" s="1"/>
  <c r="AQ11" i="16"/>
  <c r="AP12" i="16"/>
  <c r="AN12" i="16" s="1"/>
  <c r="AP19" i="16"/>
  <c r="AN19" i="16" s="1"/>
  <c r="AQ20" i="16"/>
  <c r="AQ21" i="16"/>
  <c r="AQ22" i="16"/>
  <c r="AQ23" i="16"/>
  <c r="AQ24" i="16"/>
  <c r="AP26" i="16"/>
  <c r="AN26" i="16" s="1"/>
  <c r="AP31" i="16"/>
  <c r="AN31" i="16" s="1"/>
  <c r="AQ33" i="16"/>
  <c r="AP35" i="16"/>
  <c r="AN35" i="16" s="1"/>
  <c r="AD27" i="16"/>
  <c r="Q5" i="16"/>
  <c r="AA27" i="16"/>
  <c r="AE27" i="16"/>
  <c r="S5" i="16"/>
  <c r="G15" i="15"/>
  <c r="G19" i="15"/>
  <c r="G26" i="15"/>
  <c r="G16" i="15"/>
  <c r="G20" i="15"/>
  <c r="G17" i="15"/>
  <c r="G29" i="15"/>
  <c r="G14" i="15"/>
  <c r="G18" i="15"/>
  <c r="G30" i="15"/>
  <c r="AP10" i="15"/>
  <c r="AN10" i="15" s="1"/>
  <c r="AQ13" i="15"/>
  <c r="AQ15" i="15"/>
  <c r="AQ16" i="15"/>
  <c r="AQ18" i="15"/>
  <c r="AQ19" i="15"/>
  <c r="AQ25" i="15"/>
  <c r="G27" i="15"/>
  <c r="AQ27" i="15"/>
  <c r="AQ28" i="15"/>
  <c r="AQ29" i="15"/>
  <c r="AQ30" i="15"/>
  <c r="AP32" i="15"/>
  <c r="AN32" i="15" s="1"/>
  <c r="AQ34" i="15"/>
  <c r="AP36" i="15"/>
  <c r="AN36" i="15" s="1"/>
  <c r="AQ5" i="15"/>
  <c r="AQ7" i="15"/>
  <c r="AQ8" i="15"/>
  <c r="AQ14" i="15"/>
  <c r="AQ17" i="15"/>
  <c r="G21" i="15"/>
  <c r="AQ6" i="15"/>
  <c r="AQ9" i="15"/>
  <c r="AP11" i="15"/>
  <c r="AN11" i="15" s="1"/>
  <c r="AQ12" i="15"/>
  <c r="AQ20" i="15"/>
  <c r="AP21" i="15"/>
  <c r="AN21" i="15" s="1"/>
  <c r="AP22" i="15"/>
  <c r="AN22" i="15" s="1"/>
  <c r="AP23" i="15"/>
  <c r="AN23" i="15" s="1"/>
  <c r="AP24" i="15"/>
  <c r="AN24" i="15" s="1"/>
  <c r="AQ26" i="15"/>
  <c r="AQ31" i="15"/>
  <c r="AP33" i="15"/>
  <c r="AN33" i="15" s="1"/>
  <c r="AQ35" i="15"/>
  <c r="AP7" i="15"/>
  <c r="AN7" i="15" s="1"/>
  <c r="AP8" i="15"/>
  <c r="AN8" i="15" s="1"/>
  <c r="AQ10" i="15"/>
  <c r="AP13" i="15"/>
  <c r="AN13" i="15" s="1"/>
  <c r="AP14" i="15"/>
  <c r="AN14" i="15" s="1"/>
  <c r="AP15" i="15"/>
  <c r="AN15" i="15" s="1"/>
  <c r="AP16" i="15"/>
  <c r="AN16" i="15" s="1"/>
  <c r="AP17" i="15"/>
  <c r="AN17" i="15" s="1"/>
  <c r="AP18" i="15"/>
  <c r="AN18" i="15" s="1"/>
  <c r="AP19" i="15"/>
  <c r="AN19" i="15" s="1"/>
  <c r="G22" i="15"/>
  <c r="G23" i="15"/>
  <c r="G24" i="15"/>
  <c r="G25" i="15"/>
  <c r="AP25" i="15"/>
  <c r="AN25" i="15" s="1"/>
  <c r="AP27" i="15"/>
  <c r="AN27" i="15" s="1"/>
  <c r="AP28" i="15"/>
  <c r="AN28" i="15" s="1"/>
  <c r="AP29" i="15"/>
  <c r="AN29" i="15" s="1"/>
  <c r="AP30" i="15"/>
  <c r="AN30" i="15" s="1"/>
  <c r="AQ32" i="15"/>
  <c r="AP34" i="15"/>
  <c r="AN34" i="15" s="1"/>
  <c r="AQ36" i="15"/>
  <c r="AP5" i="15"/>
  <c r="AN5" i="15" s="1"/>
  <c r="AP6" i="15"/>
  <c r="AN6" i="15" s="1"/>
  <c r="AP9" i="15"/>
  <c r="AN9" i="15" s="1"/>
  <c r="AQ11" i="15"/>
  <c r="AP12" i="15"/>
  <c r="AN12" i="15" s="1"/>
  <c r="AP20" i="15"/>
  <c r="AN20" i="15" s="1"/>
  <c r="J8" i="15" s="1"/>
  <c r="J5" i="15" s="1"/>
  <c r="X21" i="15" s="1"/>
  <c r="AQ21" i="15"/>
  <c r="AQ22" i="15"/>
  <c r="AQ23" i="15"/>
  <c r="AQ24" i="15"/>
  <c r="AP26" i="15"/>
  <c r="AN26" i="15" s="1"/>
  <c r="AP31" i="15"/>
  <c r="AN31" i="15" s="1"/>
  <c r="AQ33" i="15"/>
  <c r="AP35" i="15"/>
  <c r="AN35" i="15" s="1"/>
  <c r="AF27" i="15"/>
  <c r="AD27" i="15"/>
  <c r="S5" i="15"/>
  <c r="AE27" i="15"/>
  <c r="AG27" i="16" l="1"/>
  <c r="AF27" i="16"/>
  <c r="C27" i="16"/>
  <c r="AB27" i="16"/>
  <c r="J8" i="16"/>
  <c r="J5" i="16" s="1"/>
  <c r="AC27" i="15"/>
  <c r="G8" i="15"/>
  <c r="G5" i="15" s="1"/>
  <c r="W21" i="15" s="1"/>
  <c r="AG27" i="15"/>
  <c r="G27" i="16" a="1"/>
  <c r="G27" i="16" l="1"/>
  <c r="C26" i="16"/>
  <c r="AC27" i="16"/>
  <c r="C12" i="16"/>
  <c r="AB27" i="15"/>
  <c r="C28" i="15"/>
  <c r="C12" i="15"/>
  <c r="C13" i="15" a="1"/>
  <c r="G26" i="16" a="1"/>
  <c r="C13" i="16" a="1"/>
  <c r="G28" i="15" a="1"/>
  <c r="C13" i="16" l="1"/>
  <c r="G26" i="16"/>
  <c r="C13" i="15"/>
  <c r="G28" i="15"/>
  <c r="AG27" i="13" l="1"/>
  <c r="AF27" i="13"/>
  <c r="AE27" i="13"/>
  <c r="AD27" i="13"/>
  <c r="AA27" i="13"/>
  <c r="V26" i="13"/>
  <c r="AG32" i="9"/>
  <c r="AF32" i="9"/>
  <c r="AE32" i="9"/>
  <c r="AD32" i="9"/>
  <c r="AA32" i="9"/>
  <c r="V31" i="9"/>
  <c r="V30" i="9"/>
  <c r="AG27" i="12"/>
  <c r="AF27" i="12"/>
  <c r="AE27" i="12"/>
  <c r="AD27" i="12"/>
  <c r="AA27" i="12"/>
  <c r="V26" i="12"/>
  <c r="V25" i="12"/>
  <c r="AG27" i="11"/>
  <c r="AF27" i="11"/>
  <c r="AE27" i="11"/>
  <c r="AD27" i="11"/>
  <c r="AA27" i="11"/>
  <c r="V26" i="11"/>
  <c r="V25" i="11"/>
  <c r="AG27" i="10"/>
  <c r="AF27" i="10"/>
  <c r="AE27" i="10"/>
  <c r="AD27" i="10"/>
  <c r="AA27" i="10"/>
  <c r="V26" i="10"/>
  <c r="V25" i="10"/>
  <c r="V26" i="8"/>
  <c r="V25" i="8"/>
  <c r="AG27" i="7"/>
  <c r="AF27" i="7"/>
  <c r="AE27" i="7"/>
  <c r="AD27" i="7"/>
  <c r="AA27" i="7"/>
  <c r="V26" i="7"/>
  <c r="V25" i="7"/>
  <c r="AG27" i="6"/>
  <c r="AF27" i="6"/>
  <c r="AE27" i="6"/>
  <c r="AD27" i="6"/>
  <c r="AA27" i="6"/>
  <c r="V26" i="6"/>
  <c r="V25" i="6"/>
  <c r="AG27" i="14"/>
  <c r="AF27" i="14"/>
  <c r="AE27" i="14"/>
  <c r="AD27" i="14"/>
  <c r="AA27" i="14"/>
  <c r="V25" i="14"/>
  <c r="V26" i="14" s="1"/>
  <c r="X20" i="14" l="1"/>
  <c r="W20" i="14"/>
  <c r="AL19" i="14"/>
  <c r="AK19" i="14"/>
  <c r="AH19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T8" i="13"/>
  <c r="S8" i="13"/>
  <c r="S5" i="13" s="1"/>
  <c r="AB21" i="13" s="1"/>
  <c r="P8" i="13"/>
  <c r="O8" i="13"/>
  <c r="O5" i="13" s="1"/>
  <c r="Z21" i="13" s="1"/>
  <c r="N8" i="13"/>
  <c r="L8" i="13"/>
  <c r="I8" i="13"/>
  <c r="H8" i="13"/>
  <c r="F8" i="13"/>
  <c r="C5" i="13" s="1"/>
  <c r="E8" i="13"/>
  <c r="T7" i="13"/>
  <c r="S7" i="13"/>
  <c r="R7" i="13"/>
  <c r="R8" i="13" s="1"/>
  <c r="Q7" i="13"/>
  <c r="Q8" i="13" s="1"/>
  <c r="Q5" i="13" s="1"/>
  <c r="AA21" i="13" s="1"/>
  <c r="O7" i="13"/>
  <c r="M7" i="13"/>
  <c r="M8" i="13" s="1"/>
  <c r="M5" i="13" s="1"/>
  <c r="Y21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AL20" i="8" l="1"/>
  <c r="AA27" i="8"/>
  <c r="S5" i="14"/>
  <c r="AL20" i="13"/>
  <c r="M5" i="9"/>
  <c r="X20" i="9" s="1"/>
  <c r="S5" i="9"/>
  <c r="AA20" i="9" s="1"/>
  <c r="Q5" i="9"/>
  <c r="C5" i="12"/>
  <c r="M5" i="8"/>
  <c r="Q5" i="11"/>
  <c r="S5" i="11"/>
  <c r="C27" i="11"/>
  <c r="Q5" i="10"/>
  <c r="S5" i="10"/>
  <c r="O5" i="8"/>
  <c r="S5" i="8"/>
  <c r="Q5" i="8"/>
  <c r="C5" i="7"/>
  <c r="M5" i="7"/>
  <c r="AI21" i="7" s="1"/>
  <c r="O5" i="7"/>
  <c r="AJ21" i="7" s="1"/>
  <c r="Q5" i="7"/>
  <c r="S5" i="7"/>
  <c r="Q5" i="6"/>
  <c r="W20" i="6" s="1"/>
  <c r="AQ10" i="14" a="1"/>
  <c r="G20" i="13" a="1"/>
  <c r="AP12" i="6" a="1"/>
  <c r="AP7" i="5" a="1"/>
  <c r="AP29" i="14" a="1"/>
  <c r="AP16" i="13" a="1"/>
  <c r="G24" i="13" a="1"/>
  <c r="AQ9" i="7" a="1"/>
  <c r="AQ16" i="14" a="1"/>
  <c r="AQ24" i="13" a="1"/>
  <c r="AQ22" i="5" a="1"/>
  <c r="AQ28" i="10" a="1"/>
  <c r="AQ21" i="14" a="1"/>
  <c r="AQ7" i="10" a="1"/>
  <c r="AP7" i="10" a="1"/>
  <c r="AQ8" i="7" a="1"/>
  <c r="G30" i="10" a="1"/>
  <c r="AQ26" i="7" a="1"/>
  <c r="G29" i="12" a="1"/>
  <c r="G16" i="7" a="1"/>
  <c r="AQ33" i="10" a="1"/>
  <c r="AP18" i="6" a="1"/>
  <c r="AP35" i="11" a="1"/>
  <c r="AP14" i="10" a="1"/>
  <c r="AP23" i="9" a="1"/>
  <c r="AQ15" i="10" a="1"/>
  <c r="AP24" i="9" a="1"/>
  <c r="G17" i="7" a="1"/>
  <c r="AP20" i="13" a="1"/>
  <c r="AP11" i="8" a="1"/>
  <c r="AQ30" i="9" a="1"/>
  <c r="AP31" i="14" a="1"/>
  <c r="AP26" i="13" a="1"/>
  <c r="AQ24" i="5" a="1"/>
  <c r="AQ21" i="8" a="1"/>
  <c r="AQ24" i="7" a="1"/>
  <c r="AP20" i="14" a="1"/>
  <c r="AP36" i="13" a="1"/>
  <c r="AP34" i="5" a="1"/>
  <c r="AP22" i="10" a="1"/>
  <c r="AP15" i="13" a="1"/>
  <c r="AQ21" i="13" a="1"/>
  <c r="AP8" i="7" a="1"/>
  <c r="AQ28" i="14" a="1"/>
  <c r="G22" i="13" a="1"/>
  <c r="AP28" i="7" a="1"/>
  <c r="AP25" i="12" a="1"/>
  <c r="AP26" i="12" a="1"/>
  <c r="AP18" i="8" a="1"/>
  <c r="AQ34" i="12" a="1"/>
  <c r="AQ24" i="11" a="1"/>
  <c r="G23" i="6" a="1"/>
  <c r="AQ28" i="6" a="1"/>
  <c r="AP19" i="8" a="1"/>
  <c r="AQ10" i="5" a="1"/>
  <c r="AQ5" i="9" a="1"/>
  <c r="AP8" i="5" a="1"/>
  <c r="G17" i="9" a="1"/>
  <c r="AP24" i="11" a="1"/>
  <c r="G30" i="8" a="1"/>
  <c r="AP14" i="5" a="1"/>
  <c r="AQ20" i="11" a="1"/>
  <c r="AQ34" i="10" a="1"/>
  <c r="AP7" i="14" a="1"/>
  <c r="G25" i="13" a="1"/>
  <c r="AQ5" i="6" a="1"/>
  <c r="AP31" i="5" a="1"/>
  <c r="AP27" i="14" a="1"/>
  <c r="AQ36" i="13" a="1"/>
  <c r="AQ8" i="13" a="1"/>
  <c r="AP31" i="8" a="1"/>
  <c r="AQ14" i="14" a="1"/>
  <c r="AQ34" i="13" a="1"/>
  <c r="AP28" i="5" a="1"/>
  <c r="AP18" i="10" a="1"/>
  <c r="AP19" i="14" a="1"/>
  <c r="AQ17" i="5" a="1"/>
  <c r="AQ17" i="11" a="1"/>
  <c r="AP26" i="8" a="1"/>
  <c r="G24" i="12" a="1"/>
  <c r="AQ30" i="8" a="1"/>
  <c r="AP30" i="9" a="1"/>
  <c r="G18" i="9" a="1"/>
  <c r="AP18" i="13" a="1"/>
  <c r="AP27" i="6" a="1"/>
  <c r="AP19" i="12" a="1"/>
  <c r="AQ5" i="11" a="1"/>
  <c r="G24" i="6" a="1"/>
  <c r="AQ28" i="11" a="1"/>
  <c r="AQ23" i="7" a="1"/>
  <c r="AQ33" i="12" a="1"/>
  <c r="AP21" i="5" a="1"/>
  <c r="AQ7" i="8" a="1"/>
  <c r="AP5" i="10" a="1"/>
  <c r="AQ30" i="7" a="1"/>
  <c r="AQ14" i="10" a="1"/>
  <c r="AQ17" i="6" a="1"/>
  <c r="AQ10" i="9" a="1"/>
  <c r="AQ6" i="8" a="1"/>
  <c r="G15" i="9" a="1"/>
  <c r="AP25" i="9" a="1"/>
  <c r="G14" i="7" a="1"/>
  <c r="G15" i="7" a="1"/>
  <c r="AQ16" i="12" a="1"/>
  <c r="AQ22" i="6" a="1"/>
  <c r="G19" i="7" a="1"/>
  <c r="AQ36" i="12" a="1"/>
  <c r="AQ6" i="11" a="1"/>
  <c r="AQ35" i="12" a="1"/>
  <c r="AP32" i="10" a="1"/>
  <c r="AQ15" i="5" a="1"/>
  <c r="G26" i="10" a="1"/>
  <c r="AQ19" i="12" a="1"/>
  <c r="AP22" i="6" a="1"/>
  <c r="AP13" i="10" a="1"/>
  <c r="G29" i="6" a="1"/>
  <c r="AQ34" i="8" a="1"/>
  <c r="AP27" i="11" a="1"/>
  <c r="G15" i="13" a="1"/>
  <c r="AP29" i="13" a="1"/>
  <c r="AQ23" i="13" a="1"/>
  <c r="AP6" i="5" a="1"/>
  <c r="AP23" i="8" a="1"/>
  <c r="AP6" i="7" a="1"/>
  <c r="AP32" i="11" a="1"/>
  <c r="AP12" i="8" a="1"/>
  <c r="AP10" i="10" a="1"/>
  <c r="AP30" i="13" a="1"/>
  <c r="AQ30" i="5" a="1"/>
  <c r="AP26" i="6" a="1"/>
  <c r="AP21" i="14" a="1"/>
  <c r="AQ35" i="13" a="1"/>
  <c r="AQ17" i="8" a="1"/>
  <c r="AP19" i="13" a="1"/>
  <c r="AQ32" i="5" a="1"/>
  <c r="AP36" i="14" a="1"/>
  <c r="AQ31" i="13" a="1"/>
  <c r="AQ16" i="8" a="1"/>
  <c r="AQ18" i="10" a="1"/>
  <c r="AQ17" i="7" a="1"/>
  <c r="AQ9" i="9" a="1"/>
  <c r="G28" i="6" a="1"/>
  <c r="AQ18" i="5" a="1"/>
  <c r="AP33" i="10" a="1"/>
  <c r="AP22" i="11" a="1"/>
  <c r="AP13" i="5" a="1"/>
  <c r="G20" i="11" a="1"/>
  <c r="G14" i="6" a="1"/>
  <c r="AQ8" i="5" a="1"/>
  <c r="AP11" i="12" a="1"/>
  <c r="AP15" i="14" a="1"/>
  <c r="AQ7" i="13" a="1"/>
  <c r="AQ16" i="7" a="1"/>
  <c r="AP34" i="14" a="1"/>
  <c r="AQ10" i="13" a="1"/>
  <c r="AP27" i="5" a="1"/>
  <c r="AQ31" i="14" a="1"/>
  <c r="AQ14" i="13" a="1"/>
  <c r="AQ15" i="6" a="1"/>
  <c r="AQ24" i="14" a="1"/>
  <c r="AP20" i="5" a="1"/>
  <c r="AP23" i="11" a="1"/>
  <c r="AQ27" i="9" a="1"/>
  <c r="AP22" i="7" a="1"/>
  <c r="AP24" i="6" a="1"/>
  <c r="G30" i="6" a="1"/>
  <c r="AQ23" i="6" a="1"/>
  <c r="AP18" i="12" a="1"/>
  <c r="AP36" i="9" a="1"/>
  <c r="AP8" i="10" a="1"/>
  <c r="AP10" i="11" a="1"/>
  <c r="AP23" i="13" a="1"/>
  <c r="AQ24" i="8" a="1"/>
  <c r="AP13" i="6" a="1"/>
  <c r="AP13" i="13" a="1"/>
  <c r="AQ7" i="5" a="1"/>
  <c r="AP26" i="10" a="1"/>
  <c r="AP23" i="14" a="1"/>
  <c r="G26" i="13" a="1"/>
  <c r="AQ12" i="7" a="1"/>
  <c r="AQ7" i="14" a="1"/>
  <c r="AQ15" i="13" a="1"/>
  <c r="AP21" i="8" a="1"/>
  <c r="AP35" i="13" a="1"/>
  <c r="AP28" i="8" a="1"/>
  <c r="AP32" i="6" a="1"/>
  <c r="G25" i="8" a="1"/>
  <c r="AQ12" i="12" a="1"/>
  <c r="AQ28" i="12" a="1"/>
  <c r="G29" i="13" a="1"/>
  <c r="AQ12" i="10" a="1"/>
  <c r="AP9" i="8" a="1"/>
  <c r="AQ25" i="10" a="1"/>
  <c r="G22" i="8" a="1"/>
  <c r="G21" i="10" a="1"/>
  <c r="AP30" i="10" a="1"/>
  <c r="AQ27" i="13" a="1"/>
  <c r="AP32" i="13" a="1"/>
  <c r="AQ22" i="14" a="1"/>
  <c r="AP23" i="6" a="1"/>
  <c r="AQ26" i="11" a="1"/>
  <c r="AQ26" i="13" a="1"/>
  <c r="AP10" i="8" a="1"/>
  <c r="AQ28" i="9" a="1"/>
  <c r="G16" i="8" a="1"/>
  <c r="G24" i="11" a="1"/>
  <c r="G18" i="8" a="1"/>
  <c r="AQ11" i="12" a="1"/>
  <c r="AQ13" i="12" a="1"/>
  <c r="G29" i="8" a="1"/>
  <c r="AQ11" i="9" a="1"/>
  <c r="AP16" i="10" a="1"/>
  <c r="AQ14" i="7" a="1"/>
  <c r="AQ6" i="7" a="1"/>
  <c r="G29" i="7" a="1"/>
  <c r="AP5" i="14" a="1"/>
  <c r="AQ36" i="5" a="1"/>
  <c r="AQ11" i="5" a="1"/>
  <c r="G15" i="8" a="1"/>
  <c r="AQ27" i="12" a="1"/>
  <c r="AQ33" i="9" a="1"/>
  <c r="AQ14" i="12" a="1"/>
  <c r="AP16" i="11" a="1"/>
  <c r="AQ32" i="11" a="1"/>
  <c r="G22" i="7" a="1"/>
  <c r="G23" i="10" a="1"/>
  <c r="G18" i="11" a="1"/>
  <c r="AQ13" i="6" a="1"/>
  <c r="G14" i="13" a="1"/>
  <c r="AQ36" i="9" a="1"/>
  <c r="AQ29" i="9" a="1"/>
  <c r="AP5" i="9" a="1"/>
  <c r="AP29" i="9" a="1"/>
  <c r="AP31" i="6" a="1"/>
  <c r="AP35" i="14" a="1"/>
  <c r="AP19" i="6" a="1"/>
  <c r="AQ32" i="10" a="1"/>
  <c r="AQ30" i="14" a="1"/>
  <c r="AQ23" i="11" a="1"/>
  <c r="AQ20" i="9" a="1"/>
  <c r="AP24" i="12" a="1"/>
  <c r="AQ25" i="11" a="1"/>
  <c r="AQ25" i="5" a="1"/>
  <c r="AP33" i="6" a="1"/>
  <c r="AP32" i="8" a="1"/>
  <c r="G25" i="7" a="1"/>
  <c r="AQ12" i="11" a="1"/>
  <c r="AP24" i="10" a="1"/>
  <c r="AQ10" i="8" a="1"/>
  <c r="G14" i="8" a="1"/>
  <c r="AQ34" i="6" a="1"/>
  <c r="AQ16" i="6" a="1"/>
  <c r="AQ5" i="12" a="1"/>
  <c r="AP15" i="6" a="1"/>
  <c r="AQ23" i="8" a="1"/>
  <c r="G30" i="12" a="1"/>
  <c r="AP32" i="7" a="1"/>
  <c r="AQ21" i="6" a="1"/>
  <c r="G20" i="6" a="1"/>
  <c r="AP23" i="7" a="1"/>
  <c r="AP30" i="5" a="1"/>
  <c r="AQ17" i="13" a="1"/>
  <c r="G21" i="13" a="1"/>
  <c r="AQ32" i="8" a="1"/>
  <c r="AP12" i="12" a="1"/>
  <c r="AQ26" i="10" a="1"/>
  <c r="AP34" i="9" a="1"/>
  <c r="AP11" i="10" a="1"/>
  <c r="AQ30" i="12" a="1"/>
  <c r="AQ18" i="12" a="1"/>
  <c r="AP14" i="9" a="1"/>
  <c r="AQ32" i="12" a="1"/>
  <c r="AQ6" i="5" a="1"/>
  <c r="AP16" i="7" a="1"/>
  <c r="AP33" i="12" a="1"/>
  <c r="AP18" i="5" a="1"/>
  <c r="G18" i="10" a="1"/>
  <c r="AP15" i="9" a="1"/>
  <c r="AP23" i="10" a="1"/>
  <c r="G21" i="12" a="1"/>
  <c r="AP27" i="10" a="1"/>
  <c r="AP27" i="9" a="1"/>
  <c r="AP20" i="10" a="1"/>
  <c r="AP34" i="7" a="1"/>
  <c r="AP9" i="9" a="1"/>
  <c r="G30" i="14" a="1"/>
  <c r="G24" i="14" a="1"/>
  <c r="G20" i="14" a="1"/>
  <c r="G16" i="14" a="1"/>
  <c r="AQ20" i="5" a="1"/>
  <c r="AP28" i="13" a="1"/>
  <c r="AQ29" i="14" a="1"/>
  <c r="AQ34" i="5" a="1"/>
  <c r="AP28" i="11" a="1"/>
  <c r="AP25" i="11" a="1"/>
  <c r="AP26" i="9" a="1"/>
  <c r="AQ21" i="10" a="1"/>
  <c r="AQ10" i="12" a="1"/>
  <c r="AQ26" i="9" a="1"/>
  <c r="AQ18" i="7" a="1"/>
  <c r="AQ35" i="10" a="1"/>
  <c r="AP11" i="6" a="1"/>
  <c r="AQ16" i="13" a="1"/>
  <c r="AP8" i="14" a="1"/>
  <c r="AQ13" i="10" a="1"/>
  <c r="AP28" i="14" a="1"/>
  <c r="AP29" i="6" a="1"/>
  <c r="G30" i="13" a="1"/>
  <c r="AQ20" i="14" a="1"/>
  <c r="AQ27" i="5" a="1"/>
  <c r="G20" i="8" a="1"/>
  <c r="AQ15" i="11" a="1"/>
  <c r="AP31" i="7" a="1"/>
  <c r="AQ29" i="12" a="1"/>
  <c r="AP22" i="9" a="1"/>
  <c r="AQ12" i="5" a="1"/>
  <c r="AP11" i="5" a="1"/>
  <c r="AP22" i="13" a="1"/>
  <c r="AQ14" i="6" a="1"/>
  <c r="AQ19" i="14" a="1"/>
  <c r="AQ22" i="10" a="1"/>
  <c r="AP8" i="13" a="1"/>
  <c r="AP32" i="14" a="1"/>
  <c r="AQ20" i="10" a="1"/>
  <c r="AQ16" i="11" a="1"/>
  <c r="G28" i="9" a="1"/>
  <c r="AQ21" i="7" a="1"/>
  <c r="AQ9" i="11" a="1"/>
  <c r="AQ25" i="6" a="1"/>
  <c r="AQ20" i="6" a="1"/>
  <c r="AP10" i="6" a="1"/>
  <c r="AQ17" i="14" a="1"/>
  <c r="AP14" i="8" a="1"/>
  <c r="G20" i="12" a="1"/>
  <c r="AP5" i="12" a="1"/>
  <c r="AP16" i="8" a="1"/>
  <c r="AQ5" i="8" a="1"/>
  <c r="AP24" i="8" a="1"/>
  <c r="AP35" i="9" a="1"/>
  <c r="G24" i="7" a="1"/>
  <c r="AP25" i="10" a="1"/>
  <c r="G17" i="11" a="1"/>
  <c r="AP5" i="6" a="1"/>
  <c r="AP12" i="14" a="1"/>
  <c r="AQ13" i="11" a="1"/>
  <c r="AQ11" i="6" a="1"/>
  <c r="G15" i="10" a="1"/>
  <c r="G19" i="10" a="1"/>
  <c r="AQ10" i="11" a="1"/>
  <c r="AQ23" i="10" a="1"/>
  <c r="AQ36" i="8" a="1"/>
  <c r="AQ35" i="5" a="1"/>
  <c r="AP36" i="12" a="1"/>
  <c r="G20" i="7" a="1"/>
  <c r="AQ5" i="14" a="1"/>
  <c r="AQ10" i="6" a="1"/>
  <c r="AQ28" i="5" a="1"/>
  <c r="AQ29" i="5" a="1"/>
  <c r="AQ35" i="7" a="1"/>
  <c r="G23" i="11" a="1"/>
  <c r="G15" i="12" a="1"/>
  <c r="AQ36" i="11" a="1"/>
  <c r="AQ22" i="12" a="1"/>
  <c r="G21" i="6" a="1"/>
  <c r="AP32" i="12" a="1"/>
  <c r="AP33" i="8" a="1"/>
  <c r="AP6" i="8" a="1"/>
  <c r="AQ36" i="6" a="1"/>
  <c r="AQ15" i="9" a="1"/>
  <c r="AQ8" i="6" a="1"/>
  <c r="AP10" i="12" a="1"/>
  <c r="G19" i="8" a="1"/>
  <c r="AP36" i="5" a="1"/>
  <c r="G21" i="11" a="1"/>
  <c r="G18" i="7" a="1"/>
  <c r="AQ8" i="10" a="1"/>
  <c r="AQ11" i="10" a="1"/>
  <c r="AP18" i="7" a="1"/>
  <c r="AP17" i="5" a="1"/>
  <c r="AP17" i="12" a="1"/>
  <c r="G26" i="12" a="1"/>
  <c r="G23" i="14" a="1"/>
  <c r="AQ33" i="14" a="1"/>
  <c r="AQ29" i="13" a="1"/>
  <c r="AQ34" i="7" a="1"/>
  <c r="AP19" i="7" a="1"/>
  <c r="AP11" i="14" a="1"/>
  <c r="AP12" i="10" a="1"/>
  <c r="AQ32" i="6" a="1"/>
  <c r="AP14" i="11" a="1"/>
  <c r="G14" i="11" a="1"/>
  <c r="AQ24" i="9" a="1"/>
  <c r="AQ25" i="13" a="1"/>
  <c r="AP21" i="13" a="1"/>
  <c r="AQ15" i="14" a="1"/>
  <c r="AQ13" i="8" a="1"/>
  <c r="AQ27" i="6" a="1"/>
  <c r="AP19" i="10" a="1"/>
  <c r="AP6" i="14" a="1"/>
  <c r="AP24" i="7" a="1"/>
  <c r="G23" i="12" a="1"/>
  <c r="AQ19" i="10" a="1"/>
  <c r="AP9" i="5" a="1"/>
  <c r="AP12" i="13" a="1"/>
  <c r="AP15" i="5" a="1"/>
  <c r="AQ6" i="13" a="1"/>
  <c r="AQ10" i="10" a="1"/>
  <c r="AP11" i="11" a="1"/>
  <c r="AQ20" i="12" a="1"/>
  <c r="G17" i="10" a="1"/>
  <c r="AP5" i="5" a="1"/>
  <c r="G16" i="9" a="1"/>
  <c r="AP13" i="7" a="1"/>
  <c r="G22" i="12" a="1"/>
  <c r="AP7" i="13" a="1"/>
  <c r="AQ9" i="12" a="1"/>
  <c r="AP13" i="12" a="1"/>
  <c r="G15" i="6" a="1"/>
  <c r="AQ33" i="8" a="1"/>
  <c r="G17" i="12" a="1"/>
  <c r="G23" i="9" a="1"/>
  <c r="G14" i="12" a="1"/>
  <c r="AP29" i="11" a="1"/>
  <c r="G25" i="10" a="1"/>
  <c r="AP13" i="8" a="1"/>
  <c r="AP5" i="13" a="1"/>
  <c r="AP22" i="14" a="1"/>
  <c r="AQ32" i="13" a="1"/>
  <c r="AQ33" i="11" a="1"/>
  <c r="AP9" i="6" a="1"/>
  <c r="AP15" i="10" a="1"/>
  <c r="AP7" i="11" a="1"/>
  <c r="AQ24" i="12" a="1"/>
  <c r="AQ13" i="9" a="1"/>
  <c r="AQ22" i="11" a="1"/>
  <c r="AQ6" i="6" a="1"/>
  <c r="AP6" i="11" a="1"/>
  <c r="AP26" i="11" a="1"/>
  <c r="G16" i="12" a="1"/>
  <c r="AP22" i="8" a="1"/>
  <c r="AQ12" i="6" a="1"/>
  <c r="AQ32" i="9" a="1"/>
  <c r="G22" i="6" a="1"/>
  <c r="AP18" i="11" a="1"/>
  <c r="G16" i="11" a="1"/>
  <c r="AQ35" i="11" a="1"/>
  <c r="AQ13" i="7" a="1"/>
  <c r="G21" i="7" a="1"/>
  <c r="G19" i="9" a="1"/>
  <c r="G29" i="14" a="1"/>
  <c r="G19" i="14" a="1"/>
  <c r="AQ33" i="13" a="1"/>
  <c r="AP6" i="10" a="1"/>
  <c r="G17" i="13" a="1"/>
  <c r="AP10" i="14" a="1"/>
  <c r="AQ29" i="8" a="1"/>
  <c r="AQ20" i="7" a="1"/>
  <c r="AP6" i="9" a="1"/>
  <c r="AQ9" i="8" a="1"/>
  <c r="AQ11" i="8" a="1"/>
  <c r="AQ32" i="7" a="1"/>
  <c r="AP28" i="9" a="1"/>
  <c r="AP12" i="11" a="1"/>
  <c r="AQ18" i="13" a="1"/>
  <c r="AQ31" i="6" a="1"/>
  <c r="G18" i="13" a="1"/>
  <c r="AP24" i="13" a="1"/>
  <c r="AQ34" i="14" a="1"/>
  <c r="AP21" i="10" a="1"/>
  <c r="AP29" i="5" a="1"/>
  <c r="AQ22" i="7" a="1"/>
  <c r="AP19" i="11" a="1"/>
  <c r="AP7" i="7" a="1"/>
  <c r="G20" i="9" a="1"/>
  <c r="AQ31" i="9" a="1"/>
  <c r="AQ19" i="13" a="1"/>
  <c r="AQ32" i="14" a="1"/>
  <c r="AP35" i="6" a="1"/>
  <c r="G19" i="13" a="1"/>
  <c r="AQ23" i="14" a="1"/>
  <c r="AQ14" i="9" a="1"/>
  <c r="AQ34" i="11" a="1"/>
  <c r="G27" i="12" a="1"/>
  <c r="AP16" i="6" a="1"/>
  <c r="AQ7" i="12" a="1"/>
  <c r="AQ11" i="13" a="1"/>
  <c r="AP31" i="13" a="1"/>
  <c r="G25" i="9" a="1"/>
  <c r="G18" i="6" a="1"/>
  <c r="AP9" i="10" a="1"/>
  <c r="AQ19" i="7" a="1"/>
  <c r="G24" i="8" a="1"/>
  <c r="AP31" i="12" a="1"/>
  <c r="AQ8" i="12" a="1"/>
  <c r="AP8" i="11" a="1"/>
  <c r="AQ26" i="12" a="1"/>
  <c r="AP28" i="6" a="1"/>
  <c r="AP27" i="13" a="1"/>
  <c r="AP35" i="5" a="1"/>
  <c r="AP8" i="12" a="1"/>
  <c r="AQ17" i="10" a="1"/>
  <c r="AQ14" i="11" a="1"/>
  <c r="AQ30" i="10" a="1"/>
  <c r="G28" i="11" a="1"/>
  <c r="AQ7" i="6" a="1"/>
  <c r="AP5" i="7" a="1"/>
  <c r="AQ5" i="7" a="1"/>
  <c r="AP35" i="8" a="1"/>
  <c r="AP12" i="7" a="1"/>
  <c r="G30" i="7" a="1"/>
  <c r="AP30" i="8" a="1"/>
  <c r="AP22" i="12" a="1"/>
  <c r="G27" i="8" a="1"/>
  <c r="AQ19" i="5" a="1"/>
  <c r="AQ25" i="9" a="1"/>
  <c r="G19" i="12" a="1"/>
  <c r="G20" i="10" a="1"/>
  <c r="AQ35" i="6" a="1"/>
  <c r="AQ12" i="14" a="1"/>
  <c r="AP32" i="5" a="1"/>
  <c r="AQ25" i="8" a="1"/>
  <c r="AQ18" i="6" a="1"/>
  <c r="AP7" i="8" a="1"/>
  <c r="AP9" i="12" a="1"/>
  <c r="G19" i="11" a="1"/>
  <c r="G16" i="10" a="1"/>
  <c r="AP23" i="12" a="1"/>
  <c r="AQ21" i="11" a="1"/>
  <c r="AP16" i="12" a="1"/>
  <c r="AQ18" i="9" a="1"/>
  <c r="G29" i="9" a="1"/>
  <c r="G21" i="14" a="1"/>
  <c r="G14" i="14" a="1"/>
  <c r="AQ9" i="6" a="1"/>
  <c r="AQ8" i="11" a="1"/>
  <c r="AP30" i="6" a="1"/>
  <c r="AQ28" i="7" a="1"/>
  <c r="AP31" i="9" a="1"/>
  <c r="AP34" i="8" a="1"/>
  <c r="G25" i="12" a="1"/>
  <c r="G18" i="14" a="1"/>
  <c r="AP25" i="14" a="1"/>
  <c r="AQ11" i="14" a="1"/>
  <c r="AP15" i="11" a="1"/>
  <c r="AQ36" i="7" a="1"/>
  <c r="AQ19" i="9" a="1"/>
  <c r="AQ6" i="9" a="1"/>
  <c r="AQ9" i="14" a="1"/>
  <c r="AQ5" i="5" a="1"/>
  <c r="AP36" i="10" a="1"/>
  <c r="AQ33" i="5" a="1"/>
  <c r="AP15" i="12" a="1"/>
  <c r="AQ33" i="7" a="1"/>
  <c r="AP36" i="8" a="1"/>
  <c r="AQ18" i="14" a="1"/>
  <c r="AP36" i="6" a="1"/>
  <c r="AP30" i="11" a="1"/>
  <c r="AP20" i="8" a="1"/>
  <c r="AQ17" i="12" a="1"/>
  <c r="AP13" i="14" a="1"/>
  <c r="AP33" i="5" a="1"/>
  <c r="AQ31" i="11" a="1"/>
  <c r="AP6" i="12" a="1"/>
  <c r="AP18" i="9" a="1"/>
  <c r="AP26" i="14" a="1"/>
  <c r="AQ35" i="8" a="1"/>
  <c r="AP19" i="5" a="1"/>
  <c r="G25" i="11" a="1"/>
  <c r="G30" i="9" a="1"/>
  <c r="AQ31" i="12" a="1"/>
  <c r="AQ6" i="12" a="1"/>
  <c r="G29" i="10" a="1"/>
  <c r="AP35" i="7" a="1"/>
  <c r="AQ28" i="13" a="1"/>
  <c r="AP11" i="13" a="1"/>
  <c r="AP34" i="13" a="1"/>
  <c r="AP7" i="6" a="1"/>
  <c r="G21" i="8" a="1"/>
  <c r="AP17" i="11" a="1"/>
  <c r="AP22" i="5" a="1"/>
  <c r="AP26" i="5" a="1"/>
  <c r="G25" i="14" a="1"/>
  <c r="AP5" i="8" a="1"/>
  <c r="AP33" i="14" a="1"/>
  <c r="AP34" i="6" a="1"/>
  <c r="AQ27" i="10" a="1"/>
  <c r="G23" i="7" a="1"/>
  <c r="AP17" i="13" a="1"/>
  <c r="AQ8" i="14" a="1"/>
  <c r="AP27" i="8" a="1"/>
  <c r="AP19" i="9" a="1"/>
  <c r="AQ27" i="8" a="1"/>
  <c r="AQ23" i="12" a="1"/>
  <c r="AP36" i="7" a="1"/>
  <c r="AQ5" i="13" a="1"/>
  <c r="AQ36" i="14" a="1"/>
  <c r="AQ9" i="5" a="1"/>
  <c r="G16" i="13" a="1"/>
  <c r="AQ25" i="14" a="1"/>
  <c r="AQ15" i="12" a="1"/>
  <c r="AQ29" i="10" a="1"/>
  <c r="AP27" i="12" a="1"/>
  <c r="AP11" i="9" a="1"/>
  <c r="AP35" i="12" a="1"/>
  <c r="AP14" i="13" a="1"/>
  <c r="AQ12" i="8" a="1"/>
  <c r="AQ14" i="5" a="1"/>
  <c r="AP24" i="14" a="1"/>
  <c r="AP25" i="7" a="1"/>
  <c r="AQ16" i="5" a="1"/>
  <c r="AP9" i="14" a="1"/>
  <c r="AP17" i="7" a="1"/>
  <c r="AP12" i="9" a="1"/>
  <c r="AQ13" i="13" a="1"/>
  <c r="AP28" i="10" a="1"/>
  <c r="G22" i="10" a="1"/>
  <c r="AQ8" i="8" a="1"/>
  <c r="AP18" i="14" a="1"/>
  <c r="AP29" i="7" a="1"/>
  <c r="AQ6" i="14" a="1"/>
  <c r="AQ19" i="11" a="1"/>
  <c r="AP21" i="6" a="1"/>
  <c r="AP9" i="7" a="1"/>
  <c r="AQ25" i="12" a="1"/>
  <c r="AP14" i="7" a="1"/>
  <c r="AQ13" i="5" a="1"/>
  <c r="G26" i="7" a="1"/>
  <c r="AP20" i="11" a="1"/>
  <c r="AQ7" i="7" a="1"/>
  <c r="AP33" i="13" a="1"/>
  <c r="AQ31" i="7" a="1"/>
  <c r="AP31" i="11" a="1"/>
  <c r="AP13" i="9" a="1"/>
  <c r="G15" i="11" a="1"/>
  <c r="AQ27" i="7" a="1"/>
  <c r="AQ11" i="7" a="1"/>
  <c r="AQ18" i="8" a="1"/>
  <c r="AQ21" i="9" a="1"/>
  <c r="AP25" i="5" a="1"/>
  <c r="AQ30" i="11" a="1"/>
  <c r="AP8" i="6" a="1"/>
  <c r="G17" i="8" a="1"/>
  <c r="AQ34" i="9" a="1"/>
  <c r="AP24" i="5" a="1"/>
  <c r="AQ12" i="9" a="1"/>
  <c r="AQ23" i="5" a="1"/>
  <c r="AP8" i="9" a="1"/>
  <c r="G27" i="7" a="1"/>
  <c r="G27" i="13" a="1"/>
  <c r="AQ10" i="7" a="1"/>
  <c r="AQ28" i="8" a="1"/>
  <c r="AP29" i="10" a="1"/>
  <c r="AP21" i="11" a="1"/>
  <c r="AQ24" i="10" a="1"/>
  <c r="AP17" i="9" a="1"/>
  <c r="AP15" i="7" a="1"/>
  <c r="G14" i="10" a="1"/>
  <c r="G24" i="10" a="1"/>
  <c r="AP21" i="12" a="1"/>
  <c r="AQ19" i="8" a="1"/>
  <c r="AP17" i="14" a="1"/>
  <c r="AQ35" i="14" a="1"/>
  <c r="AP34" i="12" a="1"/>
  <c r="G30" i="11" a="1"/>
  <c r="G22" i="11" a="1"/>
  <c r="AQ29" i="11" a="1"/>
  <c r="G28" i="14" a="1"/>
  <c r="AP16" i="5" a="1"/>
  <c r="AQ19" i="6" a="1"/>
  <c r="AQ30" i="13" a="1"/>
  <c r="AP10" i="9" a="1"/>
  <c r="G23" i="13" a="1"/>
  <c r="AP33" i="7" a="1"/>
  <c r="AQ24" i="6" a="1"/>
  <c r="AP29" i="8" a="1"/>
  <c r="AP20" i="6" a="1"/>
  <c r="G21" i="9" a="1"/>
  <c r="AQ30" i="6" a="1"/>
  <c r="AP14" i="14" a="1"/>
  <c r="AQ9" i="13" a="1"/>
  <c r="AP21" i="7" a="1"/>
  <c r="G25" i="6" a="1"/>
  <c r="G24" i="9" a="1"/>
  <c r="AP10" i="5" a="1"/>
  <c r="AQ21" i="12" a="1"/>
  <c r="AQ31" i="8" a="1"/>
  <c r="AP30" i="12" a="1"/>
  <c r="AP15" i="8" a="1"/>
  <c r="AQ15" i="8" a="1"/>
  <c r="AP14" i="6" a="1"/>
  <c r="AQ29" i="6" a="1"/>
  <c r="AP35" i="10" a="1"/>
  <c r="G23" i="8" a="1"/>
  <c r="AQ26" i="5" a="1"/>
  <c r="AQ23" i="9" a="1"/>
  <c r="AP33" i="9" a="1"/>
  <c r="AP7" i="12" a="1"/>
  <c r="AQ36" i="10" a="1"/>
  <c r="AQ29" i="7" a="1"/>
  <c r="G19" i="6" a="1"/>
  <c r="AQ11" i="11" a="1"/>
  <c r="AP10" i="7" a="1"/>
  <c r="AQ17" i="9" a="1"/>
  <c r="AP16" i="9" a="1"/>
  <c r="G14" i="9" a="1"/>
  <c r="AP9" i="11" a="1"/>
  <c r="G17" i="14" a="1"/>
  <c r="AP16" i="14" a="1"/>
  <c r="AP25" i="13" a="1"/>
  <c r="AQ25" i="7" a="1"/>
  <c r="AQ16" i="9" a="1"/>
  <c r="AQ15" i="7" a="1"/>
  <c r="AQ9" i="10" a="1"/>
  <c r="AQ5" i="10" a="1"/>
  <c r="AQ21" i="5" a="1"/>
  <c r="AQ22" i="13" a="1"/>
  <c r="AP34" i="10" a="1"/>
  <c r="AP7" i="9" a="1"/>
  <c r="AP17" i="10" a="1"/>
  <c r="AQ26" i="8" a="1"/>
  <c r="AP6" i="13" a="1"/>
  <c r="AP23" i="5" a="1"/>
  <c r="AQ33" i="6" a="1"/>
  <c r="AP12" i="5" a="1"/>
  <c r="AP36" i="11" a="1"/>
  <c r="AQ12" i="13" a="1"/>
  <c r="AP32" i="9" a="1"/>
  <c r="G18" i="12" a="1"/>
  <c r="AP10" i="13" a="1"/>
  <c r="AP33" i="11" a="1"/>
  <c r="G16" i="6" a="1"/>
  <c r="AP20" i="12" a="1"/>
  <c r="AP26" i="7" a="1"/>
  <c r="G17" i="6" a="1"/>
  <c r="AQ18" i="11" a="1"/>
  <c r="AP31" i="10" a="1"/>
  <c r="AP27" i="7" a="1"/>
  <c r="AQ26" i="14" a="1"/>
  <c r="AP21" i="9" a="1"/>
  <c r="G22" i="14" a="1"/>
  <c r="AP8" i="8" a="1"/>
  <c r="AQ13" i="14" a="1"/>
  <c r="AQ26" i="6" a="1"/>
  <c r="AP25" i="8" a="1"/>
  <c r="AQ6" i="10" a="1"/>
  <c r="G15" i="14" a="1"/>
  <c r="AQ20" i="13" a="1"/>
  <c r="AQ31" i="5" a="1"/>
  <c r="AP30" i="14" a="1"/>
  <c r="AQ35" i="9" a="1"/>
  <c r="AP25" i="6" a="1"/>
  <c r="AP13" i="11" a="1"/>
  <c r="AQ7" i="9" a="1"/>
  <c r="AP9" i="13" a="1"/>
  <c r="AP20" i="9" a="1"/>
  <c r="AP6" i="6" a="1"/>
  <c r="AP20" i="7" a="1"/>
  <c r="AP17" i="8" a="1"/>
  <c r="AP11" i="7" a="1"/>
  <c r="AP14" i="12" a="1"/>
  <c r="AQ27" i="14" a="1"/>
  <c r="AQ22" i="9" a="1"/>
  <c r="AQ31" i="10" a="1"/>
  <c r="G22" i="9" a="1"/>
  <c r="AQ16" i="10" a="1"/>
  <c r="AP17" i="6" a="1"/>
  <c r="AP5" i="11" a="1"/>
  <c r="AP30" i="7" a="1"/>
  <c r="AP34" i="11" a="1"/>
  <c r="AP28" i="12" a="1"/>
  <c r="AQ22" i="8" a="1"/>
  <c r="AQ14" i="8" a="1"/>
  <c r="AQ20" i="8" a="1"/>
  <c r="AQ8" i="9" a="1"/>
  <c r="AQ27" i="11" a="1"/>
  <c r="AQ7" i="11" a="1"/>
  <c r="AP29" i="12" a="1"/>
  <c r="G27" i="11" a="1"/>
  <c r="G27" i="14" a="1"/>
  <c r="AP29" i="12" l="1"/>
  <c r="AN29" i="12" s="1"/>
  <c r="AQ7" i="11"/>
  <c r="AQ27" i="11"/>
  <c r="AQ8" i="9"/>
  <c r="AQ20" i="8"/>
  <c r="AQ14" i="8"/>
  <c r="AQ22" i="8"/>
  <c r="AP28" i="12"/>
  <c r="AN28" i="12" s="1"/>
  <c r="AP34" i="11"/>
  <c r="AN34" i="11" s="1"/>
  <c r="AP30" i="7"/>
  <c r="AN30" i="7" s="1"/>
  <c r="AP5" i="11"/>
  <c r="AN5" i="11" s="1"/>
  <c r="AP17" i="6"/>
  <c r="AN17" i="6" s="1"/>
  <c r="J8" i="6" s="1"/>
  <c r="J5" i="6" s="1"/>
  <c r="AC27" i="6" s="1"/>
  <c r="AQ16" i="10"/>
  <c r="G22" i="9"/>
  <c r="AQ31" i="10"/>
  <c r="AQ22" i="9"/>
  <c r="AQ27" i="14"/>
  <c r="AP14" i="12"/>
  <c r="AN14" i="12" s="1"/>
  <c r="AP11" i="7"/>
  <c r="AN11" i="7" s="1"/>
  <c r="AP17" i="8"/>
  <c r="AN17" i="8" s="1"/>
  <c r="AP20" i="7"/>
  <c r="AN20" i="7" s="1"/>
  <c r="AP6" i="6"/>
  <c r="AN6" i="6" s="1"/>
  <c r="AP20" i="9"/>
  <c r="AN20" i="9" s="1"/>
  <c r="AP9" i="13"/>
  <c r="AN9" i="13" s="1"/>
  <c r="AQ7" i="9"/>
  <c r="AP13" i="11"/>
  <c r="AN13" i="11" s="1"/>
  <c r="AP25" i="6"/>
  <c r="AN25" i="6" s="1"/>
  <c r="AQ35" i="9"/>
  <c r="AP30" i="14"/>
  <c r="AN30" i="14" s="1"/>
  <c r="AQ31" i="5"/>
  <c r="AQ20" i="13"/>
  <c r="G15" i="14"/>
  <c r="AQ6" i="10"/>
  <c r="AP25" i="8"/>
  <c r="AN25" i="8" s="1"/>
  <c r="AQ26" i="6"/>
  <c r="AQ13" i="14"/>
  <c r="AP8" i="8"/>
  <c r="AN8" i="8" s="1"/>
  <c r="G22" i="14"/>
  <c r="AP21" i="9"/>
  <c r="AN21" i="9" s="1"/>
  <c r="AQ26" i="14"/>
  <c r="AP27" i="7"/>
  <c r="AN27" i="7" s="1"/>
  <c r="AP31" i="10"/>
  <c r="AN31" i="10" s="1"/>
  <c r="AQ18" i="11"/>
  <c r="G17" i="6"/>
  <c r="AP26" i="7"/>
  <c r="AN26" i="7" s="1"/>
  <c r="AP20" i="12"/>
  <c r="AN20" i="12" s="1"/>
  <c r="G16" i="6"/>
  <c r="AP33" i="11"/>
  <c r="AN33" i="11" s="1"/>
  <c r="AP10" i="13"/>
  <c r="AN10" i="13" s="1"/>
  <c r="G18" i="12"/>
  <c r="AP32" i="9"/>
  <c r="AN32" i="9" s="1"/>
  <c r="AQ12" i="13"/>
  <c r="AP36" i="11"/>
  <c r="AN36" i="11" s="1"/>
  <c r="AP12" i="5"/>
  <c r="AQ33" i="6"/>
  <c r="AP23" i="5"/>
  <c r="AP6" i="13"/>
  <c r="AN6" i="13" s="1"/>
  <c r="AQ26" i="8"/>
  <c r="AP17" i="10"/>
  <c r="AN17" i="10" s="1"/>
  <c r="AP7" i="9"/>
  <c r="AN7" i="9" s="1"/>
  <c r="AP34" i="10"/>
  <c r="AN34" i="10" s="1"/>
  <c r="AQ22" i="13"/>
  <c r="AQ21" i="5"/>
  <c r="AQ5" i="10"/>
  <c r="G8" i="10" s="1"/>
  <c r="G5" i="10" s="1"/>
  <c r="AE20" i="10" s="1"/>
  <c r="AQ9" i="10"/>
  <c r="AQ15" i="7"/>
  <c r="AQ16" i="9"/>
  <c r="AQ25" i="7"/>
  <c r="AP25" i="13"/>
  <c r="AN25" i="13" s="1"/>
  <c r="AP16" i="14"/>
  <c r="AN16" i="14" s="1"/>
  <c r="G17" i="14"/>
  <c r="AP9" i="11"/>
  <c r="AN9" i="11" s="1"/>
  <c r="G14" i="9"/>
  <c r="AP16" i="9"/>
  <c r="AN16" i="9" s="1"/>
  <c r="AQ17" i="9"/>
  <c r="AP10" i="7"/>
  <c r="AN10" i="7" s="1"/>
  <c r="AQ11" i="11"/>
  <c r="G19" i="6"/>
  <c r="AQ29" i="7"/>
  <c r="AQ36" i="10"/>
  <c r="AP7" i="12"/>
  <c r="AN7" i="12" s="1"/>
  <c r="AP33" i="9"/>
  <c r="AN33" i="9" s="1"/>
  <c r="AQ23" i="9"/>
  <c r="AQ26" i="5"/>
  <c r="G23" i="8"/>
  <c r="AP35" i="10"/>
  <c r="AN35" i="10" s="1"/>
  <c r="AQ29" i="6"/>
  <c r="AP14" i="6"/>
  <c r="AN14" i="6" s="1"/>
  <c r="AQ15" i="8"/>
  <c r="AP15" i="8"/>
  <c r="AN15" i="8" s="1"/>
  <c r="AP30" i="12"/>
  <c r="AN30" i="12" s="1"/>
  <c r="AQ31" i="8"/>
  <c r="AQ21" i="12"/>
  <c r="AP10" i="5"/>
  <c r="G24" i="9"/>
  <c r="G25" i="6"/>
  <c r="AP21" i="7"/>
  <c r="AN21" i="7" s="1"/>
  <c r="AQ9" i="13"/>
  <c r="AP14" i="14"/>
  <c r="AN14" i="14" s="1"/>
  <c r="AQ30" i="6"/>
  <c r="G21" i="9"/>
  <c r="AP20" i="6"/>
  <c r="AN20" i="6" s="1"/>
  <c r="AP29" i="8"/>
  <c r="AN29" i="8" s="1"/>
  <c r="AQ24" i="6"/>
  <c r="AP33" i="7"/>
  <c r="AN33" i="7" s="1"/>
  <c r="G23" i="13"/>
  <c r="AP10" i="9"/>
  <c r="AN10" i="9" s="1"/>
  <c r="AQ30" i="13"/>
  <c r="AQ19" i="6"/>
  <c r="AP16" i="5"/>
  <c r="G28" i="14"/>
  <c r="AQ29" i="11"/>
  <c r="G22" i="11"/>
  <c r="G30" i="11"/>
  <c r="AP34" i="12"/>
  <c r="AN34" i="12" s="1"/>
  <c r="AQ35" i="14"/>
  <c r="AP17" i="14"/>
  <c r="AN17" i="14" s="1"/>
  <c r="AQ19" i="8"/>
  <c r="AP21" i="12"/>
  <c r="AN21" i="12" s="1"/>
  <c r="G24" i="10"/>
  <c r="G14" i="10"/>
  <c r="AP15" i="7"/>
  <c r="AN15" i="7" s="1"/>
  <c r="AP17" i="9"/>
  <c r="AN17" i="9" s="1"/>
  <c r="AQ24" i="10"/>
  <c r="AP21" i="11"/>
  <c r="AN21" i="11" s="1"/>
  <c r="AP29" i="10"/>
  <c r="AN29" i="10" s="1"/>
  <c r="AQ28" i="8"/>
  <c r="AQ10" i="7"/>
  <c r="G27" i="13"/>
  <c r="G27" i="7"/>
  <c r="AP8" i="9"/>
  <c r="AN8" i="9" s="1"/>
  <c r="AQ23" i="5"/>
  <c r="AQ12" i="9"/>
  <c r="AP24" i="5"/>
  <c r="AQ34" i="9"/>
  <c r="G17" i="8"/>
  <c r="AP8" i="6"/>
  <c r="AN8" i="6" s="1"/>
  <c r="AQ30" i="11"/>
  <c r="AP25" i="5"/>
  <c r="AQ21" i="9"/>
  <c r="AQ18" i="8"/>
  <c r="AQ11" i="7"/>
  <c r="AQ27" i="7"/>
  <c r="G15" i="11"/>
  <c r="AP13" i="9"/>
  <c r="AN13" i="9" s="1"/>
  <c r="AP31" i="11"/>
  <c r="AN31" i="11" s="1"/>
  <c r="AQ31" i="7"/>
  <c r="AP33" i="13"/>
  <c r="AN33" i="13" s="1"/>
  <c r="AQ7" i="7"/>
  <c r="AP20" i="11"/>
  <c r="AN20" i="11" s="1"/>
  <c r="G26" i="7"/>
  <c r="AQ13" i="5"/>
  <c r="AP14" i="7"/>
  <c r="AN14" i="7" s="1"/>
  <c r="AQ25" i="12"/>
  <c r="AP9" i="7"/>
  <c r="AN9" i="7" s="1"/>
  <c r="AP21" i="6"/>
  <c r="AN21" i="6" s="1"/>
  <c r="AQ19" i="11"/>
  <c r="AQ6" i="14"/>
  <c r="AP29" i="7"/>
  <c r="AN29" i="7" s="1"/>
  <c r="AP18" i="14"/>
  <c r="AN18" i="14" s="1"/>
  <c r="AQ8" i="8"/>
  <c r="G22" i="10"/>
  <c r="AP28" i="10"/>
  <c r="AN28" i="10" s="1"/>
  <c r="AQ13" i="13"/>
  <c r="AP12" i="9"/>
  <c r="AN12" i="9" s="1"/>
  <c r="AP17" i="7"/>
  <c r="AN17" i="7" s="1"/>
  <c r="AP9" i="14"/>
  <c r="AN9" i="14" s="1"/>
  <c r="AQ16" i="5"/>
  <c r="AP25" i="7"/>
  <c r="AN25" i="7" s="1"/>
  <c r="AP24" i="14"/>
  <c r="AN24" i="14" s="1"/>
  <c r="AQ14" i="5"/>
  <c r="AQ12" i="8"/>
  <c r="AP14" i="13"/>
  <c r="AN14" i="13" s="1"/>
  <c r="AP35" i="12"/>
  <c r="AN35" i="12" s="1"/>
  <c r="AP11" i="9"/>
  <c r="AN11" i="9" s="1"/>
  <c r="AP27" i="12"/>
  <c r="AN27" i="12" s="1"/>
  <c r="AQ29" i="10"/>
  <c r="AQ15" i="12"/>
  <c r="AQ25" i="14"/>
  <c r="G16" i="13"/>
  <c r="AQ9" i="5"/>
  <c r="AQ36" i="14"/>
  <c r="AQ5" i="13"/>
  <c r="AP36" i="7"/>
  <c r="AN36" i="7" s="1"/>
  <c r="AQ23" i="12"/>
  <c r="AQ27" i="8"/>
  <c r="AP19" i="9"/>
  <c r="AN19" i="9" s="1"/>
  <c r="AP27" i="8"/>
  <c r="AN27" i="8" s="1"/>
  <c r="AQ8" i="14"/>
  <c r="AP17" i="13"/>
  <c r="AN17" i="13" s="1"/>
  <c r="G23" i="7"/>
  <c r="AQ27" i="10"/>
  <c r="AP34" i="6"/>
  <c r="AN34" i="6" s="1"/>
  <c r="AP33" i="14"/>
  <c r="AN33" i="14" s="1"/>
  <c r="AP5" i="8"/>
  <c r="AN5" i="8" s="1"/>
  <c r="G25" i="14"/>
  <c r="AP26" i="5"/>
  <c r="AP22" i="5"/>
  <c r="AP17" i="11"/>
  <c r="AN17" i="11" s="1"/>
  <c r="G21" i="8"/>
  <c r="AP7" i="6"/>
  <c r="AN7" i="6" s="1"/>
  <c r="AP34" i="13"/>
  <c r="AN34" i="13" s="1"/>
  <c r="AP11" i="13"/>
  <c r="AN11" i="13" s="1"/>
  <c r="AQ28" i="13"/>
  <c r="AP35" i="7"/>
  <c r="AN35" i="7" s="1"/>
  <c r="G29" i="10"/>
  <c r="AQ6" i="12"/>
  <c r="AQ31" i="12"/>
  <c r="G30" i="9"/>
  <c r="G25" i="11"/>
  <c r="AP19" i="5"/>
  <c r="AQ35" i="8"/>
  <c r="AP26" i="14"/>
  <c r="AN26" i="14" s="1"/>
  <c r="AP18" i="9"/>
  <c r="AN18" i="9" s="1"/>
  <c r="AP6" i="12"/>
  <c r="AN6" i="12" s="1"/>
  <c r="AQ31" i="11"/>
  <c r="AP33" i="5"/>
  <c r="AP13" i="14"/>
  <c r="AN13" i="14" s="1"/>
  <c r="AQ17" i="12"/>
  <c r="AP20" i="8"/>
  <c r="AN20" i="8" s="1"/>
  <c r="AP30" i="11"/>
  <c r="AN30" i="11" s="1"/>
  <c r="AP36" i="6"/>
  <c r="AN36" i="6" s="1"/>
  <c r="AQ18" i="14"/>
  <c r="AP36" i="8"/>
  <c r="AN36" i="8" s="1"/>
  <c r="AQ33" i="7"/>
  <c r="AP15" i="12"/>
  <c r="AN15" i="12" s="1"/>
  <c r="AQ33" i="5"/>
  <c r="AP36" i="10"/>
  <c r="AN36" i="10" s="1"/>
  <c r="AQ5" i="5"/>
  <c r="G8" i="5" s="1"/>
  <c r="AQ9" i="14"/>
  <c r="AQ6" i="9"/>
  <c r="AQ19" i="9"/>
  <c r="AQ36" i="7"/>
  <c r="AP15" i="11"/>
  <c r="AN15" i="11" s="1"/>
  <c r="AQ11" i="14"/>
  <c r="AP25" i="14"/>
  <c r="AN25" i="14" s="1"/>
  <c r="G18" i="14"/>
  <c r="G25" i="12"/>
  <c r="AP34" i="8"/>
  <c r="AN34" i="8" s="1"/>
  <c r="AP31" i="9"/>
  <c r="AN31" i="9" s="1"/>
  <c r="AQ28" i="7"/>
  <c r="AP30" i="6"/>
  <c r="AN30" i="6" s="1"/>
  <c r="AQ8" i="11"/>
  <c r="AQ9" i="6"/>
  <c r="G14" i="14"/>
  <c r="G21" i="14"/>
  <c r="G29" i="9"/>
  <c r="AQ18" i="9"/>
  <c r="AP16" i="12"/>
  <c r="AN16" i="12" s="1"/>
  <c r="AQ21" i="11"/>
  <c r="AP23" i="12"/>
  <c r="AN23" i="12" s="1"/>
  <c r="G16" i="10"/>
  <c r="G19" i="11"/>
  <c r="AP9" i="12"/>
  <c r="AN9" i="12" s="1"/>
  <c r="AP7" i="8"/>
  <c r="AN7" i="8" s="1"/>
  <c r="AQ18" i="6"/>
  <c r="AQ25" i="8"/>
  <c r="AP32" i="5"/>
  <c r="AQ12" i="14"/>
  <c r="AQ35" i="6"/>
  <c r="G20" i="10"/>
  <c r="G19" i="12"/>
  <c r="AQ25" i="9"/>
  <c r="AQ19" i="5"/>
  <c r="G27" i="8"/>
  <c r="AP22" i="12"/>
  <c r="AN22" i="12" s="1"/>
  <c r="AP30" i="8"/>
  <c r="AN30" i="8" s="1"/>
  <c r="G30" i="7"/>
  <c r="AP12" i="7"/>
  <c r="AN12" i="7" s="1"/>
  <c r="AP35" i="8"/>
  <c r="AN35" i="8" s="1"/>
  <c r="AQ5" i="7"/>
  <c r="G8" i="7" s="1"/>
  <c r="G5" i="7" s="1"/>
  <c r="AP5" i="7"/>
  <c r="AN5" i="7" s="1"/>
  <c r="AQ7" i="6"/>
  <c r="G28" i="11"/>
  <c r="AQ30" i="10"/>
  <c r="AQ14" i="11"/>
  <c r="AQ17" i="10"/>
  <c r="AP8" i="12"/>
  <c r="AN8" i="12" s="1"/>
  <c r="AP35" i="5"/>
  <c r="AP27" i="13"/>
  <c r="AN27" i="13" s="1"/>
  <c r="AP28" i="6"/>
  <c r="AN28" i="6" s="1"/>
  <c r="AQ26" i="12"/>
  <c r="AP8" i="11"/>
  <c r="AN8" i="11" s="1"/>
  <c r="AQ8" i="12"/>
  <c r="G8" i="12" s="1"/>
  <c r="G5" i="12" s="1"/>
  <c r="AP31" i="12"/>
  <c r="AN31" i="12" s="1"/>
  <c r="G24" i="8"/>
  <c r="AQ19" i="7"/>
  <c r="AP9" i="10"/>
  <c r="AN9" i="10" s="1"/>
  <c r="G18" i="6"/>
  <c r="G25" i="9"/>
  <c r="AP31" i="13"/>
  <c r="AN31" i="13" s="1"/>
  <c r="AQ11" i="13"/>
  <c r="AQ7" i="12"/>
  <c r="AP16" i="6"/>
  <c r="AN16" i="6" s="1"/>
  <c r="G27" i="12"/>
  <c r="AQ34" i="11"/>
  <c r="AQ14" i="9"/>
  <c r="AQ23" i="14"/>
  <c r="G19" i="13"/>
  <c r="AP35" i="6"/>
  <c r="AN35" i="6" s="1"/>
  <c r="AQ32" i="14"/>
  <c r="AQ19" i="13"/>
  <c r="AQ31" i="9"/>
  <c r="G20" i="9"/>
  <c r="AP7" i="7"/>
  <c r="AN7" i="7" s="1"/>
  <c r="AP19" i="11"/>
  <c r="AN19" i="11" s="1"/>
  <c r="AQ22" i="7"/>
  <c r="AP29" i="5"/>
  <c r="AP21" i="10"/>
  <c r="AN21" i="10" s="1"/>
  <c r="AQ34" i="14"/>
  <c r="AP24" i="13"/>
  <c r="AN24" i="13" s="1"/>
  <c r="G18" i="13"/>
  <c r="AQ31" i="6"/>
  <c r="AQ18" i="13"/>
  <c r="AP12" i="11"/>
  <c r="AN12" i="11" s="1"/>
  <c r="AP28" i="9"/>
  <c r="AN28" i="9" s="1"/>
  <c r="J8" i="9" s="1"/>
  <c r="J5" i="9" s="1"/>
  <c r="AQ32" i="7"/>
  <c r="AQ11" i="8"/>
  <c r="AQ9" i="8"/>
  <c r="AP6" i="9"/>
  <c r="AN6" i="9" s="1"/>
  <c r="AQ20" i="7"/>
  <c r="AQ29" i="8"/>
  <c r="AP10" i="14"/>
  <c r="AN10" i="14" s="1"/>
  <c r="G17" i="13"/>
  <c r="AP6" i="10"/>
  <c r="AN6" i="10" s="1"/>
  <c r="AQ33" i="13"/>
  <c r="G19" i="14"/>
  <c r="G29" i="14"/>
  <c r="G19" i="9"/>
  <c r="G21" i="7"/>
  <c r="AQ13" i="7"/>
  <c r="AQ35" i="11"/>
  <c r="G16" i="11"/>
  <c r="AP18" i="11"/>
  <c r="AN18" i="11" s="1"/>
  <c r="G22" i="6"/>
  <c r="AQ32" i="9"/>
  <c r="AQ12" i="6"/>
  <c r="AP22" i="8"/>
  <c r="AN22" i="8" s="1"/>
  <c r="G16" i="12"/>
  <c r="AP26" i="11"/>
  <c r="AN26" i="11" s="1"/>
  <c r="AP6" i="11"/>
  <c r="AN6" i="11" s="1"/>
  <c r="AQ6" i="6"/>
  <c r="AQ22" i="11"/>
  <c r="AQ13" i="9"/>
  <c r="AQ24" i="12"/>
  <c r="AP7" i="11"/>
  <c r="AN7" i="11" s="1"/>
  <c r="AP15" i="10"/>
  <c r="AN15" i="10" s="1"/>
  <c r="AP9" i="6"/>
  <c r="AN9" i="6" s="1"/>
  <c r="AQ33" i="11"/>
  <c r="AQ32" i="13"/>
  <c r="AP22" i="14"/>
  <c r="AN22" i="14" s="1"/>
  <c r="AP5" i="13"/>
  <c r="AN5" i="13" s="1"/>
  <c r="AP13" i="8"/>
  <c r="AN13" i="8" s="1"/>
  <c r="G25" i="10"/>
  <c r="AP29" i="11"/>
  <c r="AN29" i="11" s="1"/>
  <c r="G14" i="12"/>
  <c r="G23" i="9"/>
  <c r="G17" i="12"/>
  <c r="AQ33" i="8"/>
  <c r="G15" i="6"/>
  <c r="AP13" i="12"/>
  <c r="AN13" i="12" s="1"/>
  <c r="AQ9" i="12"/>
  <c r="AP7" i="13"/>
  <c r="AN7" i="13" s="1"/>
  <c r="G22" i="12"/>
  <c r="AP13" i="7"/>
  <c r="AN13" i="7" s="1"/>
  <c r="G16" i="9"/>
  <c r="AP5" i="5"/>
  <c r="G17" i="10"/>
  <c r="AQ20" i="12"/>
  <c r="AP11" i="11"/>
  <c r="AN11" i="11" s="1"/>
  <c r="AQ10" i="10"/>
  <c r="AQ6" i="13"/>
  <c r="G8" i="13" s="1"/>
  <c r="G5" i="13" s="1"/>
  <c r="AB27" i="13" s="1"/>
  <c r="AP15" i="5"/>
  <c r="AP12" i="13"/>
  <c r="AN12" i="13" s="1"/>
  <c r="AP9" i="5"/>
  <c r="AQ19" i="10"/>
  <c r="G23" i="12"/>
  <c r="AP24" i="7"/>
  <c r="AN24" i="7" s="1"/>
  <c r="AP6" i="14"/>
  <c r="AN6" i="14" s="1"/>
  <c r="AP19" i="10"/>
  <c r="AN19" i="10" s="1"/>
  <c r="AQ27" i="6"/>
  <c r="AQ13" i="8"/>
  <c r="AQ15" i="14"/>
  <c r="AP21" i="13"/>
  <c r="AN21" i="13" s="1"/>
  <c r="AQ25" i="13"/>
  <c r="AQ24" i="9"/>
  <c r="G14" i="11"/>
  <c r="AP14" i="11"/>
  <c r="AN14" i="11" s="1"/>
  <c r="J8" i="11" s="1"/>
  <c r="J5" i="11" s="1"/>
  <c r="AQ32" i="6"/>
  <c r="AP12" i="10"/>
  <c r="AN12" i="10" s="1"/>
  <c r="AP11" i="14"/>
  <c r="AN11" i="14" s="1"/>
  <c r="AP19" i="7"/>
  <c r="AN19" i="7" s="1"/>
  <c r="AQ34" i="7"/>
  <c r="AQ29" i="13"/>
  <c r="AQ33" i="14"/>
  <c r="G23" i="14"/>
  <c r="G26" i="12"/>
  <c r="AP17" i="12"/>
  <c r="AN17" i="12" s="1"/>
  <c r="AP17" i="5"/>
  <c r="AP18" i="7"/>
  <c r="AN18" i="7" s="1"/>
  <c r="AQ11" i="10"/>
  <c r="AQ8" i="10"/>
  <c r="G18" i="7"/>
  <c r="G21" i="11"/>
  <c r="AP36" i="5"/>
  <c r="G19" i="8"/>
  <c r="AP10" i="12"/>
  <c r="AN10" i="12" s="1"/>
  <c r="AQ8" i="6"/>
  <c r="AQ15" i="9"/>
  <c r="AQ36" i="6"/>
  <c r="AP6" i="8"/>
  <c r="AN6" i="8" s="1"/>
  <c r="AP33" i="8"/>
  <c r="AN33" i="8" s="1"/>
  <c r="AP32" i="12"/>
  <c r="AN32" i="12" s="1"/>
  <c r="G21" i="6"/>
  <c r="AQ22" i="12"/>
  <c r="AQ36" i="11"/>
  <c r="G15" i="12"/>
  <c r="G23" i="11"/>
  <c r="AQ35" i="7"/>
  <c r="AQ29" i="5"/>
  <c r="AQ28" i="5"/>
  <c r="AQ10" i="6"/>
  <c r="AQ5" i="14"/>
  <c r="G8" i="14" s="1"/>
  <c r="G5" i="14" s="1"/>
  <c r="G20" i="7"/>
  <c r="AP36" i="12"/>
  <c r="AN36" i="12" s="1"/>
  <c r="AQ35" i="5"/>
  <c r="AQ36" i="8"/>
  <c r="AQ23" i="10"/>
  <c r="AQ10" i="11"/>
  <c r="G19" i="10"/>
  <c r="G15" i="10"/>
  <c r="AQ11" i="6"/>
  <c r="AQ13" i="11"/>
  <c r="AP12" i="14"/>
  <c r="AN12" i="14" s="1"/>
  <c r="AP5" i="6"/>
  <c r="AN5" i="6" s="1"/>
  <c r="G17" i="11"/>
  <c r="AP25" i="10"/>
  <c r="AN25" i="10" s="1"/>
  <c r="G24" i="7"/>
  <c r="AP35" i="9"/>
  <c r="AN35" i="9" s="1"/>
  <c r="AP24" i="8"/>
  <c r="AN24" i="8" s="1"/>
  <c r="AQ5" i="8"/>
  <c r="G8" i="8" s="1"/>
  <c r="G5" i="8" s="1"/>
  <c r="AP16" i="8"/>
  <c r="AN16" i="8" s="1"/>
  <c r="AP5" i="12"/>
  <c r="AN5" i="12" s="1"/>
  <c r="G20" i="12"/>
  <c r="AP14" i="8"/>
  <c r="AN14" i="8" s="1"/>
  <c r="AQ17" i="14"/>
  <c r="AP10" i="6"/>
  <c r="AN10" i="6" s="1"/>
  <c r="AQ20" i="6"/>
  <c r="AQ25" i="6"/>
  <c r="AQ9" i="11"/>
  <c r="AQ21" i="7"/>
  <c r="G28" i="9"/>
  <c r="AQ16" i="11"/>
  <c r="AQ20" i="10"/>
  <c r="AP32" i="14"/>
  <c r="AN32" i="14" s="1"/>
  <c r="AP8" i="13"/>
  <c r="AN8" i="13" s="1"/>
  <c r="J8" i="13" s="1"/>
  <c r="J5" i="13" s="1"/>
  <c r="AQ22" i="10"/>
  <c r="AQ19" i="14"/>
  <c r="AQ14" i="6"/>
  <c r="AP22" i="13"/>
  <c r="AN22" i="13" s="1"/>
  <c r="AP11" i="5"/>
  <c r="AQ12" i="5"/>
  <c r="AP22" i="9"/>
  <c r="AN22" i="9" s="1"/>
  <c r="AQ29" i="12"/>
  <c r="AP31" i="7"/>
  <c r="AN31" i="7" s="1"/>
  <c r="AQ15" i="11"/>
  <c r="G20" i="8"/>
  <c r="AQ27" i="5"/>
  <c r="AQ20" i="14"/>
  <c r="G30" i="13"/>
  <c r="AP29" i="6"/>
  <c r="AN29" i="6" s="1"/>
  <c r="AP28" i="14"/>
  <c r="AN28" i="14" s="1"/>
  <c r="AQ13" i="10"/>
  <c r="AP8" i="14"/>
  <c r="AN8" i="14" s="1"/>
  <c r="AQ16" i="13"/>
  <c r="AP11" i="6"/>
  <c r="AN11" i="6" s="1"/>
  <c r="AQ35" i="10"/>
  <c r="AQ18" i="7"/>
  <c r="AQ26" i="9"/>
  <c r="AQ10" i="12"/>
  <c r="AQ21" i="10"/>
  <c r="AP26" i="9"/>
  <c r="AN26" i="9" s="1"/>
  <c r="AP25" i="11"/>
  <c r="AN25" i="11" s="1"/>
  <c r="AP28" i="11"/>
  <c r="AN28" i="11" s="1"/>
  <c r="AQ34" i="5"/>
  <c r="AQ29" i="14"/>
  <c r="AP28" i="13"/>
  <c r="AN28" i="13" s="1"/>
  <c r="AQ20" i="5"/>
  <c r="G16" i="14"/>
  <c r="G20" i="14"/>
  <c r="G24" i="14"/>
  <c r="G30" i="14"/>
  <c r="AP9" i="9"/>
  <c r="AN9" i="9" s="1"/>
  <c r="AP34" i="7"/>
  <c r="AN34" i="7" s="1"/>
  <c r="AP20" i="10"/>
  <c r="AN20" i="10" s="1"/>
  <c r="AP27" i="9"/>
  <c r="AN27" i="9" s="1"/>
  <c r="AP27" i="10"/>
  <c r="AN27" i="10" s="1"/>
  <c r="G21" i="12"/>
  <c r="AP23" i="10"/>
  <c r="AN23" i="10" s="1"/>
  <c r="AP15" i="9"/>
  <c r="AN15" i="9" s="1"/>
  <c r="G18" i="10"/>
  <c r="AP18" i="5"/>
  <c r="AP33" i="12"/>
  <c r="AN33" i="12" s="1"/>
  <c r="AP16" i="7"/>
  <c r="AN16" i="7" s="1"/>
  <c r="J8" i="7" s="1"/>
  <c r="J5" i="7" s="1"/>
  <c r="AQ6" i="5"/>
  <c r="AQ32" i="12"/>
  <c r="AP14" i="9"/>
  <c r="AN14" i="9" s="1"/>
  <c r="AQ18" i="12"/>
  <c r="AQ30" i="12"/>
  <c r="AP11" i="10"/>
  <c r="AN11" i="10" s="1"/>
  <c r="AP34" i="9"/>
  <c r="AN34" i="9" s="1"/>
  <c r="AQ26" i="10"/>
  <c r="AP12" i="12"/>
  <c r="AN12" i="12" s="1"/>
  <c r="AQ32" i="8"/>
  <c r="G21" i="13"/>
  <c r="AQ17" i="13"/>
  <c r="AP30" i="5"/>
  <c r="AP23" i="7"/>
  <c r="AN23" i="7" s="1"/>
  <c r="G20" i="6"/>
  <c r="AQ21" i="6"/>
  <c r="AP32" i="7"/>
  <c r="AN32" i="7" s="1"/>
  <c r="G30" i="12"/>
  <c r="AQ23" i="8"/>
  <c r="AP15" i="6"/>
  <c r="AN15" i="6" s="1"/>
  <c r="AQ5" i="12"/>
  <c r="AQ16" i="6"/>
  <c r="AQ34" i="6"/>
  <c r="G14" i="8"/>
  <c r="AQ10" i="8"/>
  <c r="AP24" i="10"/>
  <c r="AN24" i="10" s="1"/>
  <c r="AQ12" i="11"/>
  <c r="G25" i="7"/>
  <c r="AP32" i="8"/>
  <c r="AN32" i="8" s="1"/>
  <c r="AP33" i="6"/>
  <c r="AN33" i="6" s="1"/>
  <c r="AQ25" i="5"/>
  <c r="AQ25" i="11"/>
  <c r="AP24" i="12"/>
  <c r="AN24" i="12" s="1"/>
  <c r="AQ20" i="9"/>
  <c r="AQ23" i="11"/>
  <c r="AQ30" i="14"/>
  <c r="AQ32" i="10"/>
  <c r="AP19" i="6"/>
  <c r="AN19" i="6" s="1"/>
  <c r="AP35" i="14"/>
  <c r="AN35" i="14" s="1"/>
  <c r="AP31" i="6"/>
  <c r="AN31" i="6" s="1"/>
  <c r="AP29" i="9"/>
  <c r="AN29" i="9" s="1"/>
  <c r="AP5" i="9"/>
  <c r="AN5" i="9" s="1"/>
  <c r="AQ29" i="9"/>
  <c r="AQ36" i="9"/>
  <c r="G14" i="13"/>
  <c r="AQ13" i="6"/>
  <c r="G18" i="11"/>
  <c r="G23" i="10"/>
  <c r="G22" i="7"/>
  <c r="AQ32" i="11"/>
  <c r="AP16" i="11"/>
  <c r="AN16" i="11" s="1"/>
  <c r="AQ14" i="12"/>
  <c r="AQ33" i="9"/>
  <c r="AQ27" i="12"/>
  <c r="G15" i="8"/>
  <c r="AQ11" i="5"/>
  <c r="AQ36" i="5"/>
  <c r="AP5" i="14"/>
  <c r="AN5" i="14" s="1"/>
  <c r="G29" i="7"/>
  <c r="AQ6" i="7"/>
  <c r="AQ14" i="7"/>
  <c r="AP16" i="10"/>
  <c r="AN16" i="10" s="1"/>
  <c r="AQ11" i="9"/>
  <c r="G29" i="8"/>
  <c r="AQ13" i="12"/>
  <c r="AQ11" i="12"/>
  <c r="G18" i="8"/>
  <c r="G24" i="11"/>
  <c r="G16" i="8"/>
  <c r="AQ28" i="9"/>
  <c r="AP10" i="8"/>
  <c r="AN10" i="8" s="1"/>
  <c r="AQ26" i="13"/>
  <c r="AQ26" i="11"/>
  <c r="AP23" i="6"/>
  <c r="AN23" i="6" s="1"/>
  <c r="AQ22" i="14"/>
  <c r="AP32" i="13"/>
  <c r="AN32" i="13" s="1"/>
  <c r="AQ27" i="13"/>
  <c r="AP30" i="10"/>
  <c r="AN30" i="10" s="1"/>
  <c r="G21" i="10"/>
  <c r="G22" i="8"/>
  <c r="AQ25" i="10"/>
  <c r="AP9" i="8"/>
  <c r="AN9" i="8" s="1"/>
  <c r="AQ12" i="10"/>
  <c r="G29" i="13"/>
  <c r="AQ28" i="12"/>
  <c r="AQ12" i="12"/>
  <c r="G25" i="8"/>
  <c r="AP32" i="6"/>
  <c r="AN32" i="6" s="1"/>
  <c r="AP28" i="8"/>
  <c r="AN28" i="8" s="1"/>
  <c r="AP35" i="13"/>
  <c r="AN35" i="13" s="1"/>
  <c r="AP21" i="8"/>
  <c r="AN21" i="8" s="1"/>
  <c r="AQ15" i="13"/>
  <c r="AQ7" i="14"/>
  <c r="AQ12" i="7"/>
  <c r="G26" i="13"/>
  <c r="AP23" i="14"/>
  <c r="AN23" i="14" s="1"/>
  <c r="AP26" i="10"/>
  <c r="AN26" i="10" s="1"/>
  <c r="AQ7" i="5"/>
  <c r="AP13" i="13"/>
  <c r="AN13" i="13" s="1"/>
  <c r="AP13" i="6"/>
  <c r="AN13" i="6" s="1"/>
  <c r="AQ24" i="8"/>
  <c r="AP23" i="13"/>
  <c r="AN23" i="13" s="1"/>
  <c r="AP10" i="11"/>
  <c r="AN10" i="11" s="1"/>
  <c r="AP8" i="10"/>
  <c r="AN8" i="10" s="1"/>
  <c r="AP36" i="9"/>
  <c r="AN36" i="9" s="1"/>
  <c r="AP18" i="12"/>
  <c r="AN18" i="12" s="1"/>
  <c r="AQ23" i="6"/>
  <c r="G30" i="6"/>
  <c r="AP24" i="6"/>
  <c r="AN24" i="6" s="1"/>
  <c r="AP22" i="7"/>
  <c r="AN22" i="7" s="1"/>
  <c r="AQ27" i="9"/>
  <c r="AP23" i="11"/>
  <c r="AN23" i="11" s="1"/>
  <c r="AP20" i="5"/>
  <c r="AQ24" i="14"/>
  <c r="AQ15" i="6"/>
  <c r="AQ14" i="13"/>
  <c r="AQ31" i="14"/>
  <c r="AP27" i="5"/>
  <c r="AQ10" i="13"/>
  <c r="AP34" i="14"/>
  <c r="AN34" i="14" s="1"/>
  <c r="AQ16" i="7"/>
  <c r="AQ7" i="13"/>
  <c r="AP15" i="14"/>
  <c r="AN15" i="14" s="1"/>
  <c r="AP11" i="12"/>
  <c r="AN11" i="12" s="1"/>
  <c r="AQ8" i="5"/>
  <c r="G14" i="6"/>
  <c r="G20" i="11"/>
  <c r="AP13" i="5"/>
  <c r="AP22" i="11"/>
  <c r="AN22" i="11" s="1"/>
  <c r="AP33" i="10"/>
  <c r="AN33" i="10" s="1"/>
  <c r="AQ18" i="5"/>
  <c r="G28" i="6"/>
  <c r="AQ9" i="9"/>
  <c r="AQ17" i="7"/>
  <c r="AQ18" i="10"/>
  <c r="AQ16" i="8"/>
  <c r="AQ31" i="13"/>
  <c r="AP36" i="14"/>
  <c r="AN36" i="14" s="1"/>
  <c r="AQ32" i="5"/>
  <c r="AP19" i="13"/>
  <c r="AN19" i="13" s="1"/>
  <c r="AQ17" i="8"/>
  <c r="AQ35" i="13"/>
  <c r="AP21" i="14"/>
  <c r="AN21" i="14" s="1"/>
  <c r="AP26" i="6"/>
  <c r="AN26" i="6" s="1"/>
  <c r="AQ30" i="5"/>
  <c r="AP30" i="13"/>
  <c r="AN30" i="13" s="1"/>
  <c r="AP10" i="10"/>
  <c r="AN10" i="10" s="1"/>
  <c r="AP12" i="8"/>
  <c r="AN12" i="8" s="1"/>
  <c r="AP32" i="11"/>
  <c r="AN32" i="11" s="1"/>
  <c r="AP6" i="7"/>
  <c r="AN6" i="7" s="1"/>
  <c r="AP23" i="8"/>
  <c r="AN23" i="8" s="1"/>
  <c r="AP6" i="5"/>
  <c r="AQ23" i="13"/>
  <c r="AP29" i="13"/>
  <c r="AN29" i="13" s="1"/>
  <c r="G15" i="13"/>
  <c r="AP27" i="11"/>
  <c r="AN27" i="11" s="1"/>
  <c r="AQ34" i="8"/>
  <c r="G29" i="6"/>
  <c r="AP13" i="10"/>
  <c r="AN13" i="10" s="1"/>
  <c r="AP22" i="6"/>
  <c r="AN22" i="6" s="1"/>
  <c r="AQ19" i="12"/>
  <c r="G26" i="10"/>
  <c r="AQ15" i="5"/>
  <c r="AP32" i="10"/>
  <c r="AN32" i="10" s="1"/>
  <c r="AQ35" i="12"/>
  <c r="AQ6" i="11"/>
  <c r="AQ36" i="12"/>
  <c r="G19" i="7"/>
  <c r="AQ22" i="6"/>
  <c r="AQ16" i="12"/>
  <c r="G15" i="7"/>
  <c r="G14" i="7"/>
  <c r="AP25" i="9"/>
  <c r="AN25" i="9" s="1"/>
  <c r="G15" i="9"/>
  <c r="AQ6" i="8"/>
  <c r="AQ10" i="9"/>
  <c r="AQ17" i="6"/>
  <c r="AQ14" i="10"/>
  <c r="AQ30" i="7"/>
  <c r="AP5" i="10"/>
  <c r="AN5" i="10" s="1"/>
  <c r="AQ7" i="8"/>
  <c r="AP21" i="5"/>
  <c r="AQ33" i="12"/>
  <c r="AQ23" i="7"/>
  <c r="AQ28" i="11"/>
  <c r="G24" i="6"/>
  <c r="AQ5" i="11"/>
  <c r="G8" i="11" s="1"/>
  <c r="G5" i="11" s="1"/>
  <c r="AP19" i="12"/>
  <c r="AN19" i="12" s="1"/>
  <c r="AP27" i="6"/>
  <c r="AN27" i="6" s="1"/>
  <c r="AP18" i="13"/>
  <c r="AN18" i="13" s="1"/>
  <c r="G18" i="9"/>
  <c r="AP30" i="9"/>
  <c r="AN30" i="9" s="1"/>
  <c r="AQ30" i="8"/>
  <c r="G24" i="12"/>
  <c r="AP26" i="8"/>
  <c r="AN26" i="8" s="1"/>
  <c r="AQ17" i="11"/>
  <c r="AQ17" i="5"/>
  <c r="AP19" i="14"/>
  <c r="AN19" i="14" s="1"/>
  <c r="AP18" i="10"/>
  <c r="AN18" i="10" s="1"/>
  <c r="AP28" i="5"/>
  <c r="AQ34" i="13"/>
  <c r="AQ14" i="14"/>
  <c r="AP31" i="8"/>
  <c r="AN31" i="8" s="1"/>
  <c r="AQ8" i="13"/>
  <c r="AQ36" i="13"/>
  <c r="AP27" i="14"/>
  <c r="AN27" i="14" s="1"/>
  <c r="AP31" i="5"/>
  <c r="AQ5" i="6"/>
  <c r="G8" i="6" s="1"/>
  <c r="G5" i="6" s="1"/>
  <c r="AB27" i="6" s="1"/>
  <c r="G25" i="13"/>
  <c r="AP7" i="14"/>
  <c r="AN7" i="14" s="1"/>
  <c r="AQ34" i="10"/>
  <c r="AQ20" i="11"/>
  <c r="AP14" i="5"/>
  <c r="G30" i="8"/>
  <c r="AP24" i="11"/>
  <c r="AN24" i="11" s="1"/>
  <c r="G17" i="9"/>
  <c r="AP8" i="5"/>
  <c r="AQ5" i="9"/>
  <c r="AQ10" i="5"/>
  <c r="AP19" i="8"/>
  <c r="AN19" i="8" s="1"/>
  <c r="AQ28" i="6"/>
  <c r="G23" i="6"/>
  <c r="AQ24" i="11"/>
  <c r="AQ34" i="12"/>
  <c r="AP18" i="8"/>
  <c r="AN18" i="8" s="1"/>
  <c r="AP26" i="12"/>
  <c r="AN26" i="12" s="1"/>
  <c r="AP25" i="12"/>
  <c r="AN25" i="12" s="1"/>
  <c r="AP28" i="7"/>
  <c r="AN28" i="7" s="1"/>
  <c r="G22" i="13"/>
  <c r="AQ28" i="14"/>
  <c r="AP8" i="7"/>
  <c r="AN8" i="7" s="1"/>
  <c r="AQ21" i="13"/>
  <c r="AP15" i="13"/>
  <c r="AN15" i="13" s="1"/>
  <c r="AP22" i="10"/>
  <c r="AN22" i="10" s="1"/>
  <c r="AP34" i="5"/>
  <c r="AP36" i="13"/>
  <c r="AN36" i="13" s="1"/>
  <c r="AP20" i="14"/>
  <c r="AN20" i="14" s="1"/>
  <c r="AQ24" i="7"/>
  <c r="AQ21" i="8"/>
  <c r="AQ24" i="5"/>
  <c r="AP26" i="13"/>
  <c r="AN26" i="13" s="1"/>
  <c r="AP31" i="14"/>
  <c r="AN31" i="14" s="1"/>
  <c r="AQ30" i="9"/>
  <c r="AP11" i="8"/>
  <c r="AN11" i="8" s="1"/>
  <c r="AP20" i="13"/>
  <c r="AN20" i="13" s="1"/>
  <c r="G17" i="7"/>
  <c r="AP24" i="9"/>
  <c r="AN24" i="9" s="1"/>
  <c r="AQ15" i="10"/>
  <c r="AP23" i="9"/>
  <c r="AN23" i="9" s="1"/>
  <c r="AP14" i="10"/>
  <c r="AN14" i="10" s="1"/>
  <c r="AP35" i="11"/>
  <c r="AN35" i="11" s="1"/>
  <c r="AP18" i="6"/>
  <c r="AN18" i="6" s="1"/>
  <c r="AQ33" i="10"/>
  <c r="G16" i="7"/>
  <c r="G29" i="12"/>
  <c r="AQ26" i="7"/>
  <c r="G30" i="10"/>
  <c r="AQ8" i="7"/>
  <c r="AP7" i="10"/>
  <c r="AN7" i="10" s="1"/>
  <c r="AQ7" i="10"/>
  <c r="AQ21" i="14"/>
  <c r="AQ28" i="10"/>
  <c r="AQ22" i="5"/>
  <c r="AQ24" i="13"/>
  <c r="AQ16" i="14"/>
  <c r="AQ9" i="7"/>
  <c r="G24" i="13"/>
  <c r="AP16" i="13"/>
  <c r="AN16" i="13" s="1"/>
  <c r="AP29" i="14"/>
  <c r="AN29" i="14" s="1"/>
  <c r="AP7" i="5"/>
  <c r="AP12" i="6"/>
  <c r="AN12" i="6" s="1"/>
  <c r="G20" i="13"/>
  <c r="AQ10" i="14"/>
  <c r="C27" i="8"/>
  <c r="AD27" i="8"/>
  <c r="Z21" i="8"/>
  <c r="AE27" i="8"/>
  <c r="AA21" i="8"/>
  <c r="AF27" i="8"/>
  <c r="AB21" i="8"/>
  <c r="AG27" i="8"/>
  <c r="AB27" i="14"/>
  <c r="AI19" i="14"/>
  <c r="X22" i="11"/>
  <c r="AB27" i="11"/>
  <c r="W21" i="8"/>
  <c r="AB27" i="8"/>
  <c r="AG21" i="7"/>
  <c r="AB27" i="7"/>
  <c r="J8" i="14"/>
  <c r="J5" i="14" s="1"/>
  <c r="AJ19" i="14" s="1"/>
  <c r="G27" i="14"/>
  <c r="C12" i="14"/>
  <c r="Z20" i="9"/>
  <c r="G8" i="9"/>
  <c r="G5" i="9" s="1"/>
  <c r="Y21" i="8"/>
  <c r="J8" i="12"/>
  <c r="J5" i="12" s="1"/>
  <c r="AL20" i="12"/>
  <c r="G27" i="11"/>
  <c r="J8" i="10"/>
  <c r="J5" i="10" s="1"/>
  <c r="J8" i="8"/>
  <c r="J5" i="8" s="1"/>
  <c r="AC27" i="8" s="1"/>
  <c r="C13" i="14" a="1"/>
  <c r="G26" i="8" a="1"/>
  <c r="AB27" i="10" l="1"/>
  <c r="AI19" i="6"/>
  <c r="AF20" i="10"/>
  <c r="C27" i="10" s="1"/>
  <c r="AC27" i="10"/>
  <c r="C26" i="14"/>
  <c r="X21" i="12"/>
  <c r="AC27" i="12"/>
  <c r="AH21" i="7"/>
  <c r="C28" i="7" s="1"/>
  <c r="AC27" i="7"/>
  <c r="Y22" i="11"/>
  <c r="C29" i="11" s="1"/>
  <c r="AC27" i="11"/>
  <c r="AC27" i="14"/>
  <c r="W20" i="9"/>
  <c r="AC32" i="9"/>
  <c r="W21" i="12"/>
  <c r="C28" i="12" s="1"/>
  <c r="AB27" i="12"/>
  <c r="X21" i="13"/>
  <c r="AC27" i="13"/>
  <c r="AL19" i="9"/>
  <c r="C27" i="9" s="1"/>
  <c r="AB32" i="9"/>
  <c r="C13" i="14"/>
  <c r="W21" i="13"/>
  <c r="C12" i="13"/>
  <c r="C12" i="12"/>
  <c r="C26" i="11"/>
  <c r="C12" i="11"/>
  <c r="C28" i="10"/>
  <c r="C12" i="10"/>
  <c r="C26" i="8"/>
  <c r="X21" i="8"/>
  <c r="C28" i="8" s="1"/>
  <c r="G26" i="8"/>
  <c r="C12" i="8"/>
  <c r="C26" i="9"/>
  <c r="C12" i="9"/>
  <c r="C27" i="6"/>
  <c r="AJ19" i="6"/>
  <c r="C26" i="6" s="1"/>
  <c r="C12" i="7"/>
  <c r="C12" i="6"/>
  <c r="G28" i="10" a="1"/>
  <c r="C13" i="11" a="1"/>
  <c r="C13" i="10" a="1"/>
  <c r="G26" i="11" a="1"/>
  <c r="G26" i="9" a="1"/>
  <c r="G29" i="11" a="1"/>
  <c r="G27" i="6" a="1"/>
  <c r="C13" i="7" a="1"/>
  <c r="C13" i="8" a="1"/>
  <c r="C13" i="12" a="1"/>
  <c r="C13" i="13" a="1"/>
  <c r="G26" i="14" a="1"/>
  <c r="C13" i="9" a="1"/>
  <c r="G28" i="8" a="1"/>
  <c r="G27" i="10" a="1"/>
  <c r="C13" i="6" a="1"/>
  <c r="G27" i="9" a="1"/>
  <c r="G26" i="6" a="1"/>
  <c r="G28" i="12" a="1"/>
  <c r="G28" i="7" a="1"/>
  <c r="C28" i="13" l="1"/>
  <c r="G29" i="11"/>
  <c r="G26" i="14"/>
  <c r="G28" i="7"/>
  <c r="G27" i="10"/>
  <c r="C13" i="13"/>
  <c r="G27" i="9"/>
  <c r="G27" i="6"/>
  <c r="G28" i="12"/>
  <c r="C13" i="12"/>
  <c r="C13" i="11"/>
  <c r="G26" i="11"/>
  <c r="C13" i="10"/>
  <c r="G28" i="10"/>
  <c r="G28" i="8"/>
  <c r="G26" i="9"/>
  <c r="C13" i="8"/>
  <c r="C13" i="9"/>
  <c r="G26" i="6"/>
  <c r="C13" i="7"/>
  <c r="C13" i="6"/>
  <c r="G28" i="13" a="1"/>
  <c r="G28" i="13" l="1"/>
  <c r="P8" i="5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V6" i="1" a="1"/>
  <c r="G4" i="1" a="1"/>
  <c r="AC6" i="1" a="1"/>
  <c r="AG6" i="1" a="1"/>
  <c r="K6" i="1" a="1"/>
  <c r="D4" i="1" a="1"/>
  <c r="F6" i="1" a="1"/>
  <c r="Q6" i="1" a="1"/>
  <c r="O6" i="1" a="1"/>
  <c r="E7" i="1"/>
  <c r="H4" i="1" a="1"/>
  <c r="H6" i="1" a="1"/>
  <c r="E6" i="1" a="1"/>
  <c r="F4" i="1" a="1"/>
  <c r="W6" i="1" a="1"/>
  <c r="N4" i="1" a="1"/>
  <c r="C7" i="1"/>
  <c r="D6" i="1" a="1"/>
  <c r="C6" i="1" a="1"/>
  <c r="U6" i="1" a="1"/>
  <c r="AB6" i="1" a="1"/>
  <c r="I6" i="1" a="1"/>
  <c r="P6" i="1" a="1"/>
  <c r="V4" i="1" a="1"/>
  <c r="H7" i="1"/>
  <c r="L6" i="1" a="1"/>
  <c r="C4" i="1" a="1"/>
  <c r="N6" i="1" a="1"/>
  <c r="AH6" i="1" a="1"/>
  <c r="R4" i="1" a="1"/>
  <c r="G7" i="1"/>
  <c r="Z4" i="1" a="1"/>
  <c r="T6" i="1" a="1"/>
  <c r="AF6" i="1" a="1"/>
  <c r="AD6" i="1" a="1"/>
  <c r="R6" i="1" a="1"/>
  <c r="AA6" i="1" a="1"/>
  <c r="J6" i="1" a="1"/>
  <c r="D7" i="1"/>
  <c r="J7" i="1"/>
  <c r="G6" i="1" a="1"/>
  <c r="AE6" i="1" a="1"/>
  <c r="S6" i="1" a="1"/>
  <c r="M6" i="1" a="1"/>
  <c r="Z6" i="1" a="1"/>
  <c r="Y6" i="1" a="1"/>
  <c r="F7" i="1"/>
  <c r="X6" i="1" a="1"/>
  <c r="C14" i="5"/>
  <c r="V7" i="1"/>
  <c r="N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T4" i="1" a="1"/>
  <c r="AH7" i="1"/>
  <c r="S7" i="1"/>
  <c r="AC7" i="1"/>
  <c r="Z7" i="1"/>
  <c r="R7" i="1"/>
  <c r="AD7" i="1"/>
  <c r="I7" i="1"/>
  <c r="AF4" i="1" a="1"/>
  <c r="L7" i="1"/>
  <c r="W4" i="1" a="1"/>
  <c r="AE4" i="1" a="1"/>
  <c r="AA7" i="1"/>
  <c r="AH4" i="1" a="1"/>
  <c r="AC4" i="1" a="1"/>
  <c r="X4" i="1" a="1"/>
  <c r="AG4" i="1" a="1"/>
  <c r="U4" i="1" a="1"/>
  <c r="Q7" i="1"/>
  <c r="AA4" i="1" a="1"/>
  <c r="M4" i="1" a="1"/>
  <c r="U7" i="1"/>
  <c r="AE7" i="1"/>
  <c r="X7" i="1"/>
  <c r="P4" i="1" a="1"/>
  <c r="M7" i="1"/>
  <c r="L4" i="1" a="1"/>
  <c r="Y4" i="1" a="1"/>
  <c r="AF7" i="1"/>
  <c r="S4" i="1" a="1"/>
  <c r="P7" i="1"/>
  <c r="AB7" i="1"/>
  <c r="J4" i="1" a="1"/>
  <c r="O4" i="1" a="1"/>
  <c r="AD4" i="1" a="1"/>
  <c r="K7" i="1"/>
  <c r="AB4" i="1" a="1"/>
  <c r="K4" i="1" a="1"/>
  <c r="AG7" i="1"/>
  <c r="O7" i="1"/>
  <c r="I4" i="1" a="1"/>
  <c r="T7" i="1"/>
  <c r="W7" i="1"/>
  <c r="Y7" i="1"/>
  <c r="Q4" i="1" a="1"/>
  <c r="E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<sst xmlns="http://schemas.openxmlformats.org/spreadsheetml/2006/main" count="4302" uniqueCount="332">
  <si>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</si>
  <si>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</si>
  <si>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</si>
  <si>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</si>
  <si>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</si>
  <si>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</si>
  <si>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</si>
  <si>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</si>
  <si>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</si>
  <si>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</si>
  <si>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</si>
  <si>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</si>
  <si>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</si>
  <si>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</si>
  <si>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</si>
  <si>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</si>
  <si>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</si>
  <si>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</si>
  <si>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</si>
  <si>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</si>
  <si>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</si>
  <si>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</si>
  <si>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</si>
  <si>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</si>
  <si>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</si>
  <si>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</si>
  <si>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</si>
  <si>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</si>
  <si>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</si>
  <si>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</si>
  <si>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</si>
  <si>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</si>
  <si>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</si>
  <si>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</si>
  <si>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</si>
  <si>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</si>
  <si>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</si>
  <si>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</si>
  <si>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</si>
  <si>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</si>
  <si>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</si>
  <si>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</si>
  <si>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</si>
  <si>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</si>
  <si>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</si>
  <si>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</si>
  <si>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</si>
  <si>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</si>
  <si>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</si>
  <si>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</si>
  <si>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</si>
  <si>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</si>
  <si>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</si>
  <si>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</si>
  <si>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</si>
  <si>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</si>
  <si>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</si>
  <si>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</si>
  <si>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</si>
  <si>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</si>
  <si>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</si>
  <si>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</si>
  <si>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</si>
  <si>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</si>
  <si>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</si>
  <si>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</si>
  <si>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</si>
  <si>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</si>
  <si>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</si>
  <si>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</si>
  <si>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</si>
  <si>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</si>
  <si>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</si>
  <si>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</si>
  <si>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</si>
  <si>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</si>
  <si>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</si>
  <si>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</si>
  <si>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</si>
  <si>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</si>
  <si>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</si>
  <si>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</si>
  <si>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</si>
  <si>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</si>
  <si>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</si>
  <si>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</si>
  <si>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</si>
  <si>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</si>
  <si>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</si>
  <si>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</si>
  <si>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</si>
  <si>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</si>
  <si>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</si>
  <si>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</si>
  <si>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</si>
  <si>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</si>
  <si>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</si>
  <si>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</si>
  <si>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</si>
  <si>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</si>
  <si>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</si>
  <si>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</si>
  <si>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</si>
  <si>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</si>
  <si>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</si>
  <si>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</si>
  <si>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</si>
  <si>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</si>
  <si>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</si>
  <si>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</si>
  <si>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</si>
  <si>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</si>
  <si>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</si>
  <si>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</si>
  <si>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</si>
  <si>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</si>
  <si>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</si>
  <si>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</si>
  <si>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</si>
  <si>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</si>
  <si>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</si>
  <si>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</si>
  <si>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</si>
  <si>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</si>
  <si>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</si>
  <si>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</si>
  <si>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</si>
  <si>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</si>
  <si>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</si>
  <si>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</si>
  <si>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</si>
  <si>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</si>
  <si>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</si>
  <si>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</si>
  <si>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</si>
  <si>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</si>
  <si>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</si>
  <si>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</si>
  <si>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</si>
  <si>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</si>
  <si>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</si>
  <si>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</si>
  <si>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</si>
  <si>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</si>
  <si>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</si>
  <si>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</si>
  <si>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</si>
  <si>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</si>
  <si>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</si>
  <si>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</si>
  <si>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</si>
  <si>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</si>
  <si>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</si>
  <si>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</si>
  <si>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</si>
  <si>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</si>
  <si>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</si>
  <si>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</si>
  <si>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</si>
  <si>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</si>
  <si>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</si>
  <si>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</si>
  <si>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</si>
  <si>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</si>
  <si>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</si>
  <si>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</si>
  <si>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</si>
  <si>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</si>
  <si>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</si>
  <si>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</si>
  <si>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</si>
  <si>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</si>
  <si>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</si>
  <si>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</si>
  <si>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</si>
  <si>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</si>
  <si>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</si>
  <si>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</si>
  <si>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</si>
  <si>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</si>
  <si>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</si>
  <si>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</si>
  <si>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</si>
  <si>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</si>
  <si>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</si>
  <si>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</si>
  <si>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</si>
  <si>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</si>
  <si>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</si>
  <si>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</si>
  <si>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</si>
  <si>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</si>
  <si>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</si>
  <si>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</si>
  <si>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</si>
  <si>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</si>
  <si>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</si>
  <si>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</si>
  <si>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</si>
  <si>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</si>
  <si>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</si>
  <si>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</si>
  <si>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</si>
  <si>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</si>
  <si>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</si>
  <si>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</si>
  <si>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</si>
  <si>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</si>
  <si>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</si>
  <si>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</si>
  <si>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</si>
  <si>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</si>
  <si>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</si>
  <si>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</si>
  <si>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</si>
  <si>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</si>
  <si>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</si>
  <si>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</si>
  <si>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</si>
  <si>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</si>
  <si>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</si>
  <si>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</si>
  <si>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</si>
  <si>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</si>
  <si>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</si>
  <si>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</si>
  <si>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</si>
  <si>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</si>
  <si>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</si>
  <si>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</si>
  <si>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</si>
  <si>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</si>
  <si>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</si>
  <si>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</si>
  <si>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</si>
  <si>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</si>
  <si>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</si>
  <si>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</si>
  <si>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</si>
  <si>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</si>
  <si>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</si>
  <si>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</si>
  <si>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</si>
  <si>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</si>
  <si>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</si>
  <si>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</si>
  <si>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</si>
  <si>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</si>
  <si>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</si>
  <si>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</si>
  <si>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</si>
  <si>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</si>
  <si>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</si>
  <si>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</si>
  <si>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</si>
  <si>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</si>
  <si>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</si>
  <si>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</si>
  <si>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</si>
  <si>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</si>
  <si>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</si>
  <si>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</si>
  <si>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</si>
  <si>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</si>
  <si>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</si>
  <si>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</si>
  <si>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</si>
  <si>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</si>
  <si>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</si>
  <si>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</si>
  <si>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</si>
  <si>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</si>
  <si>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</si>
  <si>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</si>
  <si>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</si>
  <si>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</si>
  <si>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</si>
  <si>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</si>
  <si>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</si>
  <si>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</si>
  <si>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</si>
  <si>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</si>
  <si>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</si>
  <si>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</si>
  <si>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</si>
  <si>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</si>
  <si>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</si>
  <si>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</si>
  <si>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</si>
  <si>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</si>
  <si>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</si>
  <si>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</si>
  <si>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</si>
  <si>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</si>
  <si>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</si>
  <si>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</si>
  <si>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</si>
  <si>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</si>
  <si>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</si>
  <si>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</si>
  <si>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</si>
  <si>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</si>
  <si>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</si>
  <si>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</si>
  <si>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</si>
  <si>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</si>
  <si>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</si>
  <si>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</si>
  <si>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</si>
  <si>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</si>
  <si>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</si>
  <si>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</si>
  <si>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</si>
  <si>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</si>
  <si>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</si>
  <si>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</si>
  <si>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</si>
  <si>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</si>
  <si>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</si>
  <si>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</si>
  <si>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</si>
  <si>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</si>
  <si>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</si>
  <si>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</si>
  <si>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5040UB\ezcoo_fw_Epson5040UB_BT2020_ML332.hex</t>
  </si>
  <si>
    <t>c:\exes\ez_dv_edid_fw\ezcoo_30hz_ml332.hex.txt</t>
  </si>
  <si>
    <t>6C</t>
  </si>
  <si>
    <t>c:\exes\ez_dv_edid_fw\ezcoo_espon_ls12000__atmos_dv.hex.txt</t>
  </si>
  <si>
    <t>Atmos String</t>
  </si>
  <si>
    <t>5b</t>
  </si>
  <si>
    <t>25</t>
  </si>
  <si>
    <t>9e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</si>
</sst>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1"/>
    <xf numFmtId="0" fontId="2" fillId="0" borderId="0" xfId="0" applyFont="1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49" fontId="0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left"/>
    </xf>
    <xf numFmtId="0" fontId="2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48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E76180D3-8077-4FF0-9E70-98314B9B0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CD9FF7F4-AD48-4E1D-BC64-2C3336F6F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5906BAA3-1846-4D6A-88F5-81041E1B4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8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8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B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B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3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36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3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L25" sqref="L2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45</v>
      </c>
      <c r="D5" s="102"/>
      <c r="E5" s="102"/>
      <c r="F5" s="103"/>
      <c r="G5" s="104" t="str">
        <f>DEC2HEX(_xlfn.BITLSHIFT(BIN2DEC(G8),3)+_xlfn.BITLSHIFT(BIN2DEC(H8),2)+BIN2DEC(I8),2)</f>
        <v>03</v>
      </c>
      <c r="H5" s="100"/>
      <c r="I5" s="101"/>
      <c r="J5" s="104" t="str">
        <f>DEC2HEX(_xlfn.BITLSHIFT(BIN2DEC(J8),3)+_xlfn.BITLSHIFT(BIN2DEC(K8),1)+BIN2DEC(L8),2)</f>
        <v>48</v>
      </c>
      <c r="K5" s="100"/>
      <c r="L5" s="101"/>
      <c r="M5" s="100" t="str">
        <f>BIN2HEX(_xlfn.CONCAT(M8,N8),2)</f>
        <v>86</v>
      </c>
      <c r="N5" s="101"/>
      <c r="O5" s="100" t="str">
        <f>BIN2HEX(_xlfn.CONCAT(O8,P8),2)</f>
        <v>60</v>
      </c>
      <c r="P5" s="101"/>
      <c r="Q5" s="100" t="str">
        <f>BIN2HEX(_xlfn.CONCAT(Q8,R8),2)</f>
        <v>76</v>
      </c>
      <c r="R5" s="101"/>
      <c r="S5" s="100" t="str">
        <f>BIN2HEX(_xlfn.CONCAT(S8,T8),2)</f>
        <v>8F</v>
      </c>
      <c r="T5" s="101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7" priority="4">
      <formula>$E$7="Not Supported"</formula>
    </cfRule>
  </conditionalFormatting>
  <conditionalFormatting sqref="N7">
    <cfRule type="expression" dxfId="46" priority="3">
      <formula>$P$7="Supported"</formula>
    </cfRule>
  </conditionalFormatting>
  <conditionalFormatting sqref="P7">
    <cfRule type="expression" dxfId="45" priority="2">
      <formula>$N$7="Supported"</formula>
    </cfRule>
  </conditionalFormatting>
  <conditionalFormatting sqref="N7 P7">
    <cfRule type="expression" dxfId="4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4DAE-96A5-46AF-BCD9-4483AF9259A2}">
  <sheetPr codeName="Sheet15"/>
  <dimension ref="B2:BC54"/>
  <sheetViews>
    <sheetView zoomScale="90" zoomScaleNormal="90" workbookViewId="0">
      <selection activeCell="F38" sqref="F38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48</v>
      </c>
      <c r="D5" s="102"/>
      <c r="E5" s="102"/>
      <c r="F5" s="103"/>
      <c r="G5" s="104" t="str">
        <f>DEC2HEX(_xlfn.BITLSHIFT(BIN2DEC(G8),3)+_xlfn.BITLSHIFT(BIN2DEC(H8),2)+BIN2DEC(I8),2)</f>
        <v>53</v>
      </c>
      <c r="H5" s="100"/>
      <c r="I5" s="101"/>
      <c r="J5" s="104" t="str">
        <f>DEC2HEX(_xlfn.BITLSHIFT(BIN2DEC(J8),3)+_xlfn.BITLSHIFT(BIN2DEC(K8),1)+BIN2DEC(L8),2)</f>
        <v>40</v>
      </c>
      <c r="K5" s="100"/>
      <c r="L5" s="101"/>
      <c r="M5" s="100" t="str">
        <f>BIN2HEX(_xlfn.CONCAT(M8,N8),2)</f>
        <v>56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EB0146D0004853405698A953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13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78</v>
      </c>
      <c r="AC15" s="60" t="s">
        <v>78</v>
      </c>
      <c r="AD15" s="60" t="s">
        <v>78</v>
      </c>
      <c r="AE15" s="60" t="s">
        <v>78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99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40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:107450000107020366f0555f5f5f5f5f5e5d6210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:1074B000004853405698A9530000000000000000</v>
      </c>
      <c r="D28" s="36"/>
      <c r="E28" s="36"/>
      <c r="F28" s="36"/>
      <c r="G28" s="36" t="str" cm="1">
        <f t="array" ref="G28">IntelHexChecksum(RIGHT(C28,40))</f>
        <v>07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3" priority="4">
      <formula>$E$7="Not Supported"</formula>
    </cfRule>
  </conditionalFormatting>
  <conditionalFormatting sqref="N7">
    <cfRule type="expression" dxfId="42" priority="3">
      <formula>$P$7="Supported"</formula>
    </cfRule>
  </conditionalFormatting>
  <conditionalFormatting sqref="P7">
    <cfRule type="expression" dxfId="41" priority="2">
      <formula>$N$7="Supported"</formula>
    </cfRule>
  </conditionalFormatting>
  <conditionalFormatting sqref="N7 P7">
    <cfRule type="expression" dxfId="4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688B842-B7FE-4F5C-A80E-523256613630}">
      <formula1>$AN$5:$AN$36</formula1>
    </dataValidation>
    <dataValidation type="list" allowBlank="1" showInputMessage="1" showErrorMessage="1" sqref="I7" xr:uid="{C7EA50C1-53F5-4E3E-9F02-3CCD5D0835D5}">
      <formula1>$AR$5:$AR$9</formula1>
    </dataValidation>
    <dataValidation type="list" allowBlank="1" showInputMessage="1" showErrorMessage="1" sqref="I3" xr:uid="{6D4C2C37-D972-4BB1-A51D-7D07D2CA557B}">
      <formula1>$AU$15:$AU$17</formula1>
    </dataValidation>
    <dataValidation type="list" allowBlank="1" showInputMessage="1" showErrorMessage="1" sqref="L7" xr:uid="{6CAFF540-4833-40D8-BDE7-4566CB874742}">
      <formula1>$AU$5:$AU$8</formula1>
    </dataValidation>
    <dataValidation type="list" allowBlank="1" showInputMessage="1" showErrorMessage="1" sqref="E7:F7 H7 N7 P7" xr:uid="{E66DB479-3301-4FF0-BF35-CD99F913EFFF}">
      <formula1>"Supported, Not Supported"</formula1>
    </dataValidation>
    <dataValidation type="list" allowBlank="1" showInputMessage="1" showErrorMessage="1" sqref="G7" xr:uid="{08A94519-B0C9-49B8-9CB9-8DAA137701F8}">
      <formula1>$AQ$5:$AQ$36</formula1>
    </dataValidation>
  </dataValidations>
  <hyperlinks>
    <hyperlink ref="V24" r:id="rId1" xr:uid="{4D278597-A8B3-4FA2-B631-8FE432E58AE6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topLeftCell="D1" zoomScale="90" zoomScaleNormal="90" workbookViewId="0">
      <selection activeCell="AB19" sqref="AB1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45</v>
      </c>
      <c r="D5" s="102"/>
      <c r="E5" s="102"/>
      <c r="F5" s="103"/>
      <c r="G5" s="104" t="str">
        <f>DEC2HEX(_xlfn.BITLSHIFT(BIN2DEC(G8),3)+_xlfn.BITLSHIFT(BIN2DEC(H8),2)+BIN2DEC(I8),2)</f>
        <v>03</v>
      </c>
      <c r="H5" s="100"/>
      <c r="I5" s="101"/>
      <c r="J5" s="104" t="str">
        <f>DEC2HEX(_xlfn.BITLSHIFT(BIN2DEC(J8),3)+_xlfn.BITLSHIFT(BIN2DEC(K8),1)+BIN2DEC(L8),2)</f>
        <v>40</v>
      </c>
      <c r="K5" s="100"/>
      <c r="L5" s="101"/>
      <c r="M5" s="100" t="str">
        <f>BIN2HEX(_xlfn.CONCAT(M8,N8),2)</f>
        <v>56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323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40</v>
      </c>
      <c r="AK19" s="97" t="str">
        <f>M5</f>
        <v>56</v>
      </c>
      <c r="AL19" s="97" t="str">
        <f>O5</f>
        <v>98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:1074900060616566E3060501EB0146D000450340</v>
      </c>
      <c r="D26" s="36"/>
      <c r="E26" s="36"/>
      <c r="F26" s="36"/>
      <c r="G26" s="36" t="str" cm="1">
        <f t="array" ref="G26">IntelHexChecksum(RIGHT(C26,40))</f>
        <v>E7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A67C-D523-4C6F-8E7B-247B37E65790}">
  <sheetPr codeName="Sheet16"/>
  <dimension ref="B2:BC67"/>
  <sheetViews>
    <sheetView zoomScale="90" zoomScaleNormal="90" workbookViewId="0">
      <selection activeCell="Y49" sqref="Y4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45</v>
      </c>
      <c r="D5" s="102"/>
      <c r="E5" s="102"/>
      <c r="F5" s="103"/>
      <c r="G5" s="104" t="str">
        <f>DEC2HEX(_xlfn.BITLSHIFT(BIN2DEC(G8),3)+_xlfn.BITLSHIFT(BIN2DEC(H8),2)+BIN2DEC(I8),2)</f>
        <v>03</v>
      </c>
      <c r="H5" s="100"/>
      <c r="I5" s="101"/>
      <c r="J5" s="104" t="str">
        <f>DEC2HEX(_xlfn.BITLSHIFT(BIN2DEC(J8),3)+_xlfn.BITLSHIFT(BIN2DEC(K8),1)+BIN2DEC(L8),2)</f>
        <v>40</v>
      </c>
      <c r="K5" s="100"/>
      <c r="L5" s="101"/>
      <c r="M5" s="100" t="str">
        <f>BIN2HEX(_xlfn.CONCAT(M8,N8),2)</f>
        <v>56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96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137</v>
      </c>
      <c r="X8" s="95" t="s">
        <v>275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140</v>
      </c>
      <c r="AD10" s="95" t="s">
        <v>144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84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:1073D000008600FFFFFFFFFFFF004CA305A80101</v>
      </c>
      <c r="D14" s="36"/>
      <c r="E14" s="36"/>
      <c r="F14" s="36"/>
      <c r="G14" s="36" t="str" cm="1">
        <f t="array" ref="G14">IntelHexChecksum(RIGHT(C14,40))</f>
        <v>8F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:1073E0000101231C0103800000780EDE50A3544C</v>
      </c>
      <c r="D15" s="36"/>
      <c r="E15" s="36"/>
      <c r="F15" s="36"/>
      <c r="G15" s="36" t="str" cm="1">
        <f t="array" ref="G15">IntelHexChecksum(RIGHT(C15,40))</f>
        <v>E1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195</v>
      </c>
      <c r="Z15" s="95" t="s">
        <v>239</v>
      </c>
      <c r="AA15" s="95" t="s">
        <v>329</v>
      </c>
      <c r="AB15" s="95" t="s">
        <v>91</v>
      </c>
      <c r="AC15" s="95" t="s">
        <v>92</v>
      </c>
      <c r="AD15" s="95" t="s">
        <v>78</v>
      </c>
      <c r="AE15" s="95" t="s">
        <v>197</v>
      </c>
      <c r="AF15" s="95" t="s">
        <v>70</v>
      </c>
      <c r="AG15" s="95" t="s">
        <v>94</v>
      </c>
      <c r="AH15" s="95" t="s">
        <v>93</v>
      </c>
      <c r="AI15" s="95" t="s">
        <v>253</v>
      </c>
      <c r="AJ15" s="95" t="s">
        <v>194</v>
      </c>
      <c r="AK15" s="95" t="s">
        <v>198</v>
      </c>
      <c r="AL15" s="95" t="s">
        <v>28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72</v>
      </c>
      <c r="X16" s="95" t="s">
        <v>102</v>
      </c>
      <c r="Y16" s="95" t="s">
        <v>95</v>
      </c>
      <c r="Z16" s="95" t="s">
        <v>99</v>
      </c>
      <c r="AA16" s="95" t="s">
        <v>103</v>
      </c>
      <c r="AB16" s="95" t="s">
        <v>96</v>
      </c>
      <c r="AC16" s="95" t="s">
        <v>100</v>
      </c>
      <c r="AD16" s="95" t="s">
        <v>89</v>
      </c>
      <c r="AE16" s="95" t="s">
        <v>88</v>
      </c>
      <c r="AF16" s="95" t="s">
        <v>98</v>
      </c>
      <c r="AG16" s="95" t="s">
        <v>29</v>
      </c>
      <c r="AH16" s="95" t="s">
        <v>97</v>
      </c>
      <c r="AI16" s="95" t="s">
        <v>114</v>
      </c>
      <c r="AJ16" s="95" t="s">
        <v>101</v>
      </c>
      <c r="AK16" s="95" t="s">
        <v>107</v>
      </c>
      <c r="AL16" s="95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95" t="s">
        <v>199</v>
      </c>
      <c r="X17" s="95" t="s">
        <v>89</v>
      </c>
      <c r="Y17" s="95" t="s">
        <v>83</v>
      </c>
      <c r="Z17" s="95" t="s">
        <v>7</v>
      </c>
      <c r="AA17" s="95" t="s">
        <v>28</v>
      </c>
      <c r="AB17" s="95" t="s">
        <v>7</v>
      </c>
      <c r="AC17" s="95" t="s">
        <v>200</v>
      </c>
      <c r="AD17" s="95" t="s">
        <v>84</v>
      </c>
      <c r="AE17" s="95" t="s">
        <v>120</v>
      </c>
      <c r="AF17" s="95" t="s">
        <v>323</v>
      </c>
      <c r="AG17" s="95" t="s">
        <v>127</v>
      </c>
      <c r="AH17" s="95" t="s">
        <v>125</v>
      </c>
      <c r="AI17" s="95" t="s">
        <v>127</v>
      </c>
      <c r="AJ17" s="95" t="s">
        <v>81</v>
      </c>
      <c r="AK17" s="95" t="s">
        <v>193</v>
      </c>
      <c r="AL17" s="95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88</v>
      </c>
      <c r="X18" s="95" t="s">
        <v>89</v>
      </c>
      <c r="Y18" s="95" t="s">
        <v>95</v>
      </c>
      <c r="Z18" s="95" t="s">
        <v>6</v>
      </c>
      <c r="AA18" s="95" t="s">
        <v>7</v>
      </c>
      <c r="AB18" s="95" t="s">
        <v>283</v>
      </c>
      <c r="AC18" s="95" t="s">
        <v>7</v>
      </c>
      <c r="AD18" s="95" t="s">
        <v>109</v>
      </c>
      <c r="AE18" s="95" t="s">
        <v>86</v>
      </c>
      <c r="AF18" s="95" t="s">
        <v>70</v>
      </c>
      <c r="AG18" s="95" t="s">
        <v>87</v>
      </c>
      <c r="AH18" s="95" t="s">
        <v>6</v>
      </c>
      <c r="AI18" s="95" t="s">
        <v>113</v>
      </c>
      <c r="AJ18" s="95" t="s">
        <v>112</v>
      </c>
      <c r="AK18" s="95" t="s">
        <v>89</v>
      </c>
      <c r="AL18" s="95" t="s">
        <v>80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96</v>
      </c>
      <c r="X19" s="95" t="s">
        <v>81</v>
      </c>
      <c r="Y19" s="95" t="s">
        <v>7</v>
      </c>
      <c r="Z19" s="95" t="s">
        <v>85</v>
      </c>
      <c r="AA19" s="95" t="s">
        <v>7</v>
      </c>
      <c r="AB19" s="105" t="s">
        <v>203</v>
      </c>
      <c r="AC19" s="95" t="s">
        <v>85</v>
      </c>
      <c r="AD19" s="95" t="s">
        <v>74</v>
      </c>
      <c r="AE19" s="95" t="s">
        <v>194</v>
      </c>
      <c r="AF19" s="95" t="s">
        <v>80</v>
      </c>
      <c r="AG19" s="95" t="s">
        <v>114</v>
      </c>
      <c r="AH19" s="97" t="s">
        <v>257</v>
      </c>
      <c r="AI19" s="12" t="s">
        <v>6</v>
      </c>
      <c r="AJ19" s="106" t="s">
        <v>205</v>
      </c>
      <c r="AK19" s="106" t="s">
        <v>6</v>
      </c>
      <c r="AL19" s="99">
        <v>46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99" t="s">
        <v>118</v>
      </c>
      <c r="X20" s="106" t="s">
        <v>7</v>
      </c>
      <c r="Y20" s="99" t="str">
        <f>C5</f>
        <v>45</v>
      </c>
      <c r="Z20" s="107" t="str">
        <f>G5</f>
        <v>03</v>
      </c>
      <c r="AA20" s="107" t="str">
        <f>J5</f>
        <v>40</v>
      </c>
      <c r="AB20" s="107" t="str">
        <f>M5</f>
        <v>56</v>
      </c>
      <c r="AC20" s="107" t="str">
        <f>O5</f>
        <v>98</v>
      </c>
      <c r="AD20" s="107" t="str">
        <f>Q5</f>
        <v>A9</v>
      </c>
      <c r="AE20" s="107" t="str">
        <f>S5</f>
        <v>53</v>
      </c>
      <c r="AF20" s="12" t="s">
        <v>6</v>
      </c>
      <c r="AG20" s="97" t="s">
        <v>150</v>
      </c>
      <c r="AH20" s="97">
        <v>80</v>
      </c>
      <c r="AI20" s="97" t="s">
        <v>118</v>
      </c>
      <c r="AJ20" s="97">
        <v>72</v>
      </c>
      <c r="AK20" s="95" t="s">
        <v>111</v>
      </c>
      <c r="AL20" s="95" t="s">
        <v>121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104</v>
      </c>
      <c r="X21" s="95" t="s">
        <v>28</v>
      </c>
      <c r="Y21" s="95" t="s">
        <v>152</v>
      </c>
      <c r="Z21" s="95" t="s">
        <v>142</v>
      </c>
      <c r="AA21" s="95" t="s">
        <v>112</v>
      </c>
      <c r="AB21" s="95" t="s">
        <v>104</v>
      </c>
      <c r="AC21" s="95" t="s">
        <v>193</v>
      </c>
      <c r="AD21" s="95" t="s">
        <v>194</v>
      </c>
      <c r="AE21" s="95" t="s">
        <v>7</v>
      </c>
      <c r="AF21" s="95" t="s">
        <v>7</v>
      </c>
      <c r="AG21" s="95" t="s">
        <v>77</v>
      </c>
      <c r="AH21" s="95" t="s">
        <v>6</v>
      </c>
      <c r="AI21" s="95" t="s">
        <v>149</v>
      </c>
      <c r="AJ21" s="95" t="s">
        <v>112</v>
      </c>
      <c r="AK21" s="95" t="s">
        <v>126</v>
      </c>
      <c r="AL21" s="95" t="s">
        <v>151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:107450000113020359B25B61605F5E5D66656463</v>
      </c>
      <c r="D22" s="36"/>
      <c r="E22" s="36"/>
      <c r="F22" s="36"/>
      <c r="G22" s="36" t="str" cm="1">
        <f t="array" ref="G22">IntelHexChecksum(RIGHT(C22,40))</f>
        <v>40</v>
      </c>
      <c r="H22" s="36"/>
      <c r="I22" s="36"/>
      <c r="J22" s="41"/>
      <c r="V22" s="60"/>
      <c r="W22" s="95" t="s">
        <v>275</v>
      </c>
      <c r="X22" s="95" t="s">
        <v>101</v>
      </c>
      <c r="Y22" s="95" t="s">
        <v>102</v>
      </c>
      <c r="Z22" s="95" t="s">
        <v>148</v>
      </c>
      <c r="AA22" s="95" t="s">
        <v>152</v>
      </c>
      <c r="AB22" s="95" t="s">
        <v>330</v>
      </c>
      <c r="AC22" s="95" t="s">
        <v>7</v>
      </c>
      <c r="AD22" s="95" t="s">
        <v>104</v>
      </c>
      <c r="AE22" s="95" t="s">
        <v>193</v>
      </c>
      <c r="AF22" s="95" t="s">
        <v>194</v>
      </c>
      <c r="AG22" s="95" t="s">
        <v>7</v>
      </c>
      <c r="AH22" s="95" t="s">
        <v>7</v>
      </c>
      <c r="AI22" s="95" t="s">
        <v>331</v>
      </c>
      <c r="AJ22" s="95" t="s">
        <v>7</v>
      </c>
      <c r="AK22" s="95" t="s">
        <v>7</v>
      </c>
      <c r="AL22" s="96" t="s">
        <v>191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:1074600062101F20041322051403021211070616</v>
      </c>
      <c r="D23" s="36"/>
      <c r="E23" s="36"/>
      <c r="F23" s="36"/>
      <c r="G23" s="36" t="str" cm="1">
        <f t="array" ref="G23">IntelHexChecksum(RIGHT(C23,40))</f>
        <v>CE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:10747000150176030C001000B83CE02EFF21FFC0</v>
      </c>
      <c r="D24" s="36"/>
      <c r="E24" s="36"/>
      <c r="F24" s="36"/>
      <c r="G24" s="36" t="str" cm="1">
        <f t="array" ref="G24">IntelHexChecksum(RIGHT(C24,40))</f>
        <v>80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:10748000840102030401007C0067D85DC4017880</v>
      </c>
      <c r="D25" s="36"/>
      <c r="E25" s="36"/>
      <c r="F25" s="36"/>
      <c r="G25" s="36" t="str" cm="1">
        <f t="array" ref="G25">IntelHexChecksum(RIGHT(C25,40))</f>
        <v>98</v>
      </c>
      <c r="H25" s="36"/>
      <c r="I25" s="36"/>
      <c r="J25" s="41"/>
      <c r="U25" t="s">
        <v>320</v>
      </c>
      <c r="V25" s="12">
        <f>HEX2DEC(Y15)</f>
        <v>89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:1074900003E305C000E200FBE20F63E3060D01EB</v>
      </c>
      <c r="D26" s="36"/>
      <c r="E26" s="36"/>
      <c r="F26" s="36"/>
      <c r="G26" s="36" t="str" cm="1">
        <f t="array" ref="G26">IntelHexChecksum(RIGHT(C26,40))</f>
        <v>2E</v>
      </c>
      <c r="H26" s="36"/>
      <c r="I26" s="36"/>
      <c r="J26" s="41"/>
      <c r="U26" t="s">
        <v>321</v>
      </c>
      <c r="V26" t="str">
        <f>DEC2HEX(V25+12)</f>
        <v>65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:1074A0000146D0004503405698A953013A80D072</v>
      </c>
      <c r="D27" s="36"/>
      <c r="E27" s="36"/>
      <c r="F27" s="36"/>
      <c r="G27" s="36" t="str" cm="1">
        <f t="array" ref="G27">IntelHexChecksum(RIGHT(C27,40))</f>
        <v>56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:1074B000382D40102C458040846300001E011D80</v>
      </c>
      <c r="D28" s="36"/>
      <c r="E28" s="36"/>
      <c r="F28" s="36"/>
      <c r="G28" s="36" t="str" cm="1">
        <f t="array" ref="G28">IntelHexChecksum(RIGHT(C28,40))</f>
        <v>43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:1074C00018711C1620582C250040846300009E00</v>
      </c>
      <c r="D29" s="36"/>
      <c r="E29" s="36"/>
      <c r="F29" s="36"/>
      <c r="G29" s="36" t="str" cm="1">
        <f t="array" ref="G29">IntelHexChecksum(RIGHT(C29,40))</f>
        <v>73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:1074D000005400FFFFFFFFFFFF00371801000100</v>
      </c>
      <c r="D30" s="44"/>
      <c r="E30" s="44"/>
      <c r="F30" s="44"/>
      <c r="G30" s="44" t="str" cm="1">
        <f t="array" ref="G30">IntelHexChecksum(RIGHT(C30,40))</f>
        <v>0D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W33" s="95"/>
      <c r="X33" s="95"/>
      <c r="Y33" s="95"/>
      <c r="Z33" s="95"/>
      <c r="AA33" s="95"/>
      <c r="AB33" s="105"/>
      <c r="AC33" s="95"/>
      <c r="AD33" s="95"/>
      <c r="AE33" s="95"/>
      <c r="AF33" s="95"/>
      <c r="AG33" s="95"/>
      <c r="AH33" s="97"/>
      <c r="AI33" s="12"/>
      <c r="AJ33" s="12"/>
      <c r="AK33" s="97"/>
      <c r="AL33" s="97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7"/>
      <c r="X34" s="97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6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105"/>
      <c r="AC39" s="95"/>
      <c r="AD39" s="95"/>
      <c r="AE39" s="95"/>
      <c r="AF39" s="95"/>
      <c r="AG39" s="95"/>
      <c r="AH39" s="97"/>
      <c r="AI39" s="12"/>
      <c r="AJ39" s="12"/>
      <c r="AK39" s="12"/>
      <c r="AL39" s="97"/>
    </row>
    <row r="40" spans="2:55" x14ac:dyDescent="0.3">
      <c r="W40" s="97"/>
      <c r="X40" s="12"/>
      <c r="Y40" s="97"/>
      <c r="Z40" s="95"/>
      <c r="AA40" s="95"/>
      <c r="AB40" s="95"/>
      <c r="AC40" s="95"/>
      <c r="AD40" s="95"/>
      <c r="AE40" s="95"/>
      <c r="AF40" s="12"/>
      <c r="AG40" s="97"/>
      <c r="AH40" s="97"/>
      <c r="AI40" s="97"/>
      <c r="AJ40" s="97"/>
      <c r="AK40" s="95"/>
      <c r="AL40" s="95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6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88C1140-0B9B-4B3E-8C14-821A86FD0B55}">
      <formula1>$AN$5:$AN$36</formula1>
    </dataValidation>
    <dataValidation type="list" allowBlank="1" showInputMessage="1" showErrorMessage="1" sqref="I7" xr:uid="{5AC79A7B-9760-4288-995F-F1D01E708C4E}">
      <formula1>$AR$5:$AR$9</formula1>
    </dataValidation>
    <dataValidation type="list" allowBlank="1" showInputMessage="1" showErrorMessage="1" sqref="I3" xr:uid="{B0974F47-42D4-4F7E-9BA2-0C993C66B4E3}">
      <formula1>$AU$15:$AU$17</formula1>
    </dataValidation>
    <dataValidation type="list" allowBlank="1" showInputMessage="1" showErrorMessage="1" sqref="L7" xr:uid="{234CBF84-DD8F-42F5-9128-64DDFB84C354}">
      <formula1>$AU$5:$AU$8</formula1>
    </dataValidation>
    <dataValidation type="list" allowBlank="1" showInputMessage="1" showErrorMessage="1" sqref="E7:F7 H7 N7 P7" xr:uid="{2C661ECE-807B-4A41-9615-A5BBC9A89F0D}">
      <formula1>"Supported, Not Supported"</formula1>
    </dataValidation>
    <dataValidation type="list" allowBlank="1" showInputMessage="1" showErrorMessage="1" sqref="G7" xr:uid="{357FC7CE-3CD6-4DB0-855D-496A898479D2}">
      <formula1>$AQ$5:$AQ$36</formula1>
    </dataValidation>
  </dataValidations>
  <hyperlinks>
    <hyperlink ref="V24" r:id="rId1" xr:uid="{7EA54950-DD62-4DF8-9ACF-C660E309EAB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opLeftCell="G1" zoomScale="90" zoomScaleNormal="90" workbookViewId="0">
      <selection activeCell="AL22" sqref="W7:AL22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45</v>
      </c>
      <c r="D5" s="102"/>
      <c r="E5" s="102"/>
      <c r="F5" s="103"/>
      <c r="G5" s="104" t="str">
        <f>DEC2HEX(_xlfn.BITLSHIFT(BIN2DEC(G8),3)+_xlfn.BITLSHIFT(BIN2DEC(H8),2)+BIN2DEC(I8),2)</f>
        <v>03</v>
      </c>
      <c r="H5" s="100"/>
      <c r="I5" s="101"/>
      <c r="J5" s="104" t="str">
        <f>DEC2HEX(_xlfn.BITLSHIFT(BIN2DEC(J8),3)+_xlfn.BITLSHIFT(BIN2DEC(K8),1)+BIN2DEC(L8),2)</f>
        <v>58</v>
      </c>
      <c r="K5" s="100"/>
      <c r="L5" s="101"/>
      <c r="M5" s="100" t="str">
        <f>BIN2HEX(_xlfn.CONCAT(M8,N8),2)</f>
        <v>56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45</v>
      </c>
      <c r="D5" s="102"/>
      <c r="E5" s="102"/>
      <c r="F5" s="103"/>
      <c r="G5" s="104" t="str">
        <f>DEC2HEX(_xlfn.BITLSHIFT(BIN2DEC(G8),3)+_xlfn.BITLSHIFT(BIN2DEC(H8),2)+BIN2DEC(I8),2)</f>
        <v>07</v>
      </c>
      <c r="H5" s="100"/>
      <c r="I5" s="101"/>
      <c r="J5" s="104" t="str">
        <f>DEC2HEX(_xlfn.BITLSHIFT(BIN2DEC(J8),3)+_xlfn.BITLSHIFT(BIN2DEC(K8),1)+BIN2DEC(L8),2)</f>
        <v>49</v>
      </c>
      <c r="K5" s="100"/>
      <c r="L5" s="101"/>
      <c r="M5" s="100" t="str">
        <f>BIN2HEX(_xlfn.CONCAT(M8,N8),2)</f>
        <v>57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320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321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topLeftCell="E1" zoomScale="90" zoomScaleNormal="90" workbookViewId="0">
      <selection activeCell="W7" sqref="W7:AL22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47</v>
      </c>
      <c r="D5" s="102"/>
      <c r="E5" s="102"/>
      <c r="F5" s="103"/>
      <c r="G5" s="104" t="str">
        <f>DEC2HEX(_xlfn.BITLSHIFT(BIN2DEC(G8),3)+_xlfn.BITLSHIFT(BIN2DEC(H8),2)+BIN2DEC(I8),2)</f>
        <v>07</v>
      </c>
      <c r="H5" s="100"/>
      <c r="I5" s="101"/>
      <c r="J5" s="104" t="str">
        <f>DEC2HEX(_xlfn.BITLSHIFT(BIN2DEC(J8),3)+_xlfn.BITLSHIFT(BIN2DEC(K8),1)+BIN2DEC(L8),2)</f>
        <v>40</v>
      </c>
      <c r="K5" s="100"/>
      <c r="L5" s="101"/>
      <c r="M5" s="100" t="str">
        <f>BIN2HEX(_xlfn.CONCAT(M8,N8),2)</f>
        <v>57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327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EB0146D0004707405798A953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5F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326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07</v>
      </c>
      <c r="X21" s="62" t="str">
        <f>J5</f>
        <v>40</v>
      </c>
      <c r="Y21" s="62" t="str">
        <f>M5</f>
        <v>57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:10745000010702036Cf055616066655f5e5d6210</v>
      </c>
      <c r="D22" s="36"/>
      <c r="E22" s="36"/>
      <c r="F22" s="36"/>
      <c r="G22" s="36" t="str" cm="1">
        <f t="array" ref="G22">IntelHexChecksum(RIGHT(C22,40))</f>
        <v>56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07</v>
      </c>
      <c r="AC27" t="str">
        <f>$J$5</f>
        <v>40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:1074B000004707405798A953e61146d000700000</v>
      </c>
      <c r="D28" s="36"/>
      <c r="E28" s="36"/>
      <c r="F28" s="36"/>
      <c r="G28" s="36" t="str" cm="1">
        <f t="array" ref="G28">IntelHexChecksum(RIGHT(C28,40))</f>
        <v>D6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topLeftCell="C1" zoomScale="90" zoomScaleNormal="90" workbookViewId="0">
      <selection activeCell="W7" sqref="W7:AL22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47</v>
      </c>
      <c r="D5" s="102"/>
      <c r="E5" s="102"/>
      <c r="F5" s="103"/>
      <c r="G5" s="104" t="str">
        <f>DEC2HEX(_xlfn.BITLSHIFT(BIN2DEC(G8),3)+_xlfn.BITLSHIFT(BIN2DEC(H8),2)+BIN2DEC(I8),2)</f>
        <v>04</v>
      </c>
      <c r="H5" s="100"/>
      <c r="I5" s="101"/>
      <c r="J5" s="104" t="str">
        <f>DEC2HEX(_xlfn.BITLSHIFT(BIN2DEC(J8),3)+_xlfn.BITLSHIFT(BIN2DEC(K8),1)+BIN2DEC(L8),2)</f>
        <v>49</v>
      </c>
      <c r="K5" s="100"/>
      <c r="L5" s="101"/>
      <c r="M5" s="100" t="str">
        <f>BIN2HEX(_xlfn.CONCAT(M8,N8),2)</f>
        <v>57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305</v>
      </c>
      <c r="W3" s="62" t="s">
        <v>163</v>
      </c>
    </row>
    <row r="4" spans="2:54" ht="15" thickBot="1" x14ac:dyDescent="0.35">
      <c r="M4" t="s">
        <v>302</v>
      </c>
      <c r="O4" t="s">
        <v>302</v>
      </c>
      <c r="Q4" t="s">
        <v>302</v>
      </c>
      <c r="S4" t="s">
        <v>302</v>
      </c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44</v>
      </c>
      <c r="D5" s="102"/>
      <c r="E5" s="102"/>
      <c r="F5" s="103"/>
      <c r="G5" s="104" t="str">
        <f>DEC2HEX(_xlfn.BITLSHIFT(BIN2DEC(G8),3)+_xlfn.BITLSHIFT(BIN2DEC(H8),2)+BIN2DEC(I8),2)</f>
        <v>03</v>
      </c>
      <c r="H5" s="100"/>
      <c r="I5" s="101"/>
      <c r="J5" s="104" t="str">
        <f>DEC2HEX(_xlfn.BITLSHIFT(BIN2DEC(J8),3)+_xlfn.BITLSHIFT(BIN2DEC(K8),1)+BIN2DEC(L8),2)</f>
        <v>48</v>
      </c>
      <c r="K5" s="100"/>
      <c r="L5" s="101"/>
      <c r="M5" s="100" t="str">
        <f>BIN2HEX(_xlfn.CONCAT(M8,N8),2)</f>
        <v>72</v>
      </c>
      <c r="N5" s="101"/>
      <c r="O5" s="100" t="str">
        <f>BIN2HEX(_xlfn.CONCAT(O8,P8),2)</f>
        <v>72</v>
      </c>
      <c r="P5" s="101"/>
      <c r="Q5" s="100" t="str">
        <f>BIN2HEX(_xlfn.CONCAT(Q8,R8),2)</f>
        <v>9F</v>
      </c>
      <c r="R5" s="101"/>
      <c r="S5" s="100" t="str">
        <f>BIN2HEX(_xlfn.CONCAT(S8,T8),2)</f>
        <v>68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305</v>
      </c>
      <c r="N7" s="33" t="s">
        <v>19</v>
      </c>
      <c r="O7" s="9" t="s">
        <v>305</v>
      </c>
      <c r="P7" s="33" t="s">
        <v>19</v>
      </c>
      <c r="Q7" s="9" t="s">
        <v>305</v>
      </c>
      <c r="R7" s="9" t="s">
        <v>305</v>
      </c>
      <c r="S7" s="9" t="s">
        <v>305</v>
      </c>
      <c r="T7" s="9" t="s">
        <v>305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303</v>
      </c>
      <c r="T8" s="93" t="s">
        <v>304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O10" t="s">
        <v>301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300</v>
      </c>
      <c r="J11" s="40"/>
      <c r="O11" s="6" t="s">
        <v>306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294</v>
      </c>
      <c r="AC13" s="60" t="s">
        <v>93</v>
      </c>
      <c r="AD13" s="60" t="s">
        <v>295</v>
      </c>
      <c r="AE13" s="60" t="s">
        <v>296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297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298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305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295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320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321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48</v>
      </c>
      <c r="D5" s="102"/>
      <c r="E5" s="102"/>
      <c r="F5" s="103"/>
      <c r="G5" s="104" t="str">
        <f>DEC2HEX(_xlfn.BITLSHIFT(BIN2DEC(G8),3)+_xlfn.BITLSHIFT(BIN2DEC(H8),2)+BIN2DEC(I8),2)</f>
        <v>53</v>
      </c>
      <c r="H5" s="100"/>
      <c r="I5" s="101"/>
      <c r="J5" s="104" t="str">
        <f>DEC2HEX(_xlfn.BITLSHIFT(BIN2DEC(J8),3)+_xlfn.BITLSHIFT(BIN2DEC(K8),1)+BIN2DEC(L8),2)</f>
        <v>10</v>
      </c>
      <c r="K5" s="100"/>
      <c r="L5" s="101"/>
      <c r="M5" s="100" t="str">
        <f>BIN2HEX(_xlfn.CONCAT(M8,N8),2)</f>
        <v>56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47</v>
      </c>
      <c r="D5" s="102"/>
      <c r="E5" s="102"/>
      <c r="F5" s="103"/>
      <c r="G5" s="104" t="str">
        <f>DEC2HEX(_xlfn.BITLSHIFT(BIN2DEC(G8),3)+_xlfn.BITLSHIFT(BIN2DEC(H8),2)+BIN2DEC(I8),2)</f>
        <v>07</v>
      </c>
      <c r="H5" s="100"/>
      <c r="I5" s="101"/>
      <c r="J5" s="104" t="str">
        <f>DEC2HEX(_xlfn.BITLSHIFT(BIN2DEC(J8),3)+_xlfn.BITLSHIFT(BIN2DEC(K8),1)+BIN2DEC(L8),2)</f>
        <v>F8</v>
      </c>
      <c r="K5" s="100"/>
      <c r="L5" s="101"/>
      <c r="M5" s="100" t="str">
        <f>BIN2HEX(_xlfn.CONCAT(M8,N8),2)</f>
        <v>57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295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309</v>
      </c>
      <c r="AC8" s="60" t="s">
        <v>147</v>
      </c>
      <c r="AD8" s="60" t="s">
        <v>113</v>
      </c>
      <c r="AE8" s="60" t="s">
        <v>117</v>
      </c>
      <c r="AF8" s="60" t="s">
        <v>310</v>
      </c>
      <c r="AG8" s="60" t="s">
        <v>311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312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313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314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315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316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309</v>
      </c>
      <c r="AF20" s="60" t="s">
        <v>309</v>
      </c>
      <c r="AG20" s="60" t="s">
        <v>309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309</v>
      </c>
      <c r="AJ25" s="60" t="s">
        <v>309</v>
      </c>
      <c r="AK25" s="60" t="s">
        <v>309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317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318</v>
      </c>
      <c r="V29" s="98" t="s">
        <v>319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320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321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tabSelected="1" zoomScale="90" zoomScaleNormal="90" workbookViewId="0">
      <selection activeCell="G45" sqref="G45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2" t="str">
        <f>DEC2HEX(_xlfn.BITLSHIFT(BIN2DEC(C8),5)+_xlfn.BITLSHIFT(BIN2DEC(D8),2)+_xlfn.BITLSHIFT(BIN2DEC(E8),1)+BIN2DEC(F8))</f>
        <v>48</v>
      </c>
      <c r="D5" s="102"/>
      <c r="E5" s="102"/>
      <c r="F5" s="103"/>
      <c r="G5" s="104" t="str">
        <f>DEC2HEX(_xlfn.BITLSHIFT(BIN2DEC(G8),3)+_xlfn.BITLSHIFT(BIN2DEC(H8),2)+BIN2DEC(I8),2)</f>
        <v>53</v>
      </c>
      <c r="H5" s="100"/>
      <c r="I5" s="101"/>
      <c r="J5" s="104" t="str">
        <f>DEC2HEX(_xlfn.BITLSHIFT(BIN2DEC(J8),3)+_xlfn.BITLSHIFT(BIN2DEC(K8),1)+BIN2DEC(L8),2)</f>
        <v>10</v>
      </c>
      <c r="K5" s="100"/>
      <c r="L5" s="101"/>
      <c r="M5" s="100" t="str">
        <f>BIN2HEX(_xlfn.CONCAT(M8,N8),2)</f>
        <v>56</v>
      </c>
      <c r="N5" s="101"/>
      <c r="O5" s="100" t="str">
        <f>BIN2HEX(_xlfn.CONCAT(O8,P8),2)</f>
        <v>98</v>
      </c>
      <c r="P5" s="101"/>
      <c r="Q5" s="100" t="str">
        <f>BIN2HEX(_xlfn.CONCAT(Q8,R8),2)</f>
        <v>A9</v>
      </c>
      <c r="R5" s="101"/>
      <c r="S5" s="100" t="str">
        <f>BIN2HEX(_xlfn.CONCAT(S8,T8),2)</f>
        <v>53</v>
      </c>
      <c r="T5" s="101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Patcher</vt:lpstr>
      <vt:lpstr>Custom DV</vt:lpstr>
      <vt:lpstr>Custom EDID-EZCOO 30Hz</vt:lpstr>
      <vt:lpstr>Custom EDID-Epson5040UB</vt:lpstr>
      <vt:lpstr>Custom EDID-Epson5050UB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2023-04-23T16:08:29Z</dcterms:modified>
</cp:coreProperties>
</file>