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8_{AA776D50-7DC9-480A-9737-BB8A78026719}" xr6:coauthVersionLast="47" xr6:coauthVersionMax="47" xr10:uidLastSave="{00000000-0000-0000-0000-000000000000}"/>
  <bookViews>
    <workbookView xWindow="2062" yWindow="5126" windowWidth="33178" windowHeight="17453" firstSheet="1" activeTab="1" xr2:uid="{DE808AFE-8AFE-4111-8161-9EF8B03B2A2C}"/>
  </bookViews>
  <sheets>
    <sheet name="Patcher" sheetId="1" r:id="rId1"/>
    <sheet name="Custom DV" sheetId="5" r:id="rId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26" i="5" l="1" a="1"/>
  <c r="AP13" i="5" a="1"/>
  <c r="AQ35" i="5" a="1"/>
  <c r="AQ31" i="5" a="1"/>
  <c r="AQ27" i="5" a="1"/>
  <c r="AQ23" i="5" a="1"/>
  <c r="AQ19" i="5" a="1"/>
  <c r="AQ15" i="5" a="1"/>
  <c r="AQ10" i="5" a="1"/>
  <c r="AQ6" i="5" a="1"/>
  <c r="AP24" i="5" a="1"/>
  <c r="AP12" i="5" a="1"/>
  <c r="AP35" i="5" a="1"/>
  <c r="AP29" i="5" a="1"/>
  <c r="AP19" i="5" a="1"/>
  <c r="AP8" i="5" a="1"/>
  <c r="AP23" i="5" a="1"/>
  <c r="AP10" i="5" a="1"/>
  <c r="AQ34" i="5" a="1"/>
  <c r="AQ30" i="5" a="1"/>
  <c r="AQ26" i="5" a="1"/>
  <c r="AQ22" i="5" a="1"/>
  <c r="AQ18" i="5" a="1"/>
  <c r="AQ14" i="5" a="1"/>
  <c r="AQ9" i="5" a="1"/>
  <c r="AQ5" i="5" a="1"/>
  <c r="AP21" i="5" a="1"/>
  <c r="AP9" i="5" a="1"/>
  <c r="AP34" i="5" a="1"/>
  <c r="AP28" i="5" a="1"/>
  <c r="AP17" i="5" a="1"/>
  <c r="AP5" i="5" a="1"/>
  <c r="AP16" i="5" a="1"/>
  <c r="AQ32" i="5" a="1"/>
  <c r="AQ24" i="5" a="1"/>
  <c r="AQ16" i="5" a="1"/>
  <c r="AQ7" i="5" a="1"/>
  <c r="AP15" i="5" a="1"/>
  <c r="AP30" i="5" a="1"/>
  <c r="AP11" i="5" a="1"/>
  <c r="AQ11" i="5" a="1"/>
  <c r="AP7" i="5" a="1"/>
  <c r="AQ29" i="5" a="1"/>
  <c r="AQ21" i="5" a="1"/>
  <c r="AQ13" i="5" a="1"/>
  <c r="AP31" i="5" a="1"/>
  <c r="AP6" i="5" a="1"/>
  <c r="AP25" i="5" a="1"/>
  <c r="AP32" i="5" a="1"/>
  <c r="AQ28" i="5" a="1"/>
  <c r="AQ12" i="5" a="1"/>
  <c r="AP36" i="5" a="1"/>
  <c r="AP20" i="5" a="1"/>
  <c r="AQ25" i="5" a="1"/>
  <c r="AQ8" i="5" a="1"/>
  <c r="AP33" i="5" a="1"/>
  <c r="AQ36" i="5" a="1"/>
  <c r="AQ20" i="5" a="1"/>
  <c r="AP27" i="5" a="1"/>
  <c r="AP22" i="5" a="1"/>
  <c r="AQ33" i="5" a="1"/>
  <c r="AQ17" i="5" a="1"/>
  <c r="AP18" i="5" a="1"/>
  <c r="AP14" i="5" a="1"/>
  <c r="AP5" i="5" l="1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M7" i="5"/>
  <c r="M8" i="5" s="1"/>
  <c r="G5" i="5"/>
  <c r="C5" i="5"/>
  <c r="O5" i="5" l="1"/>
  <c r="M5" i="5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J8" i="5" l="1"/>
  <c r="J5" i="5" s="1"/>
  <c r="C12" i="5" s="1"/>
  <c r="C13" i="5" a="1"/>
  <c r="C14" i="5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F4" i="1" a="1"/>
  <c r="C7" i="1"/>
  <c r="G7" i="1"/>
  <c r="M6" i="1" a="1"/>
  <c r="D7" i="1"/>
  <c r="G4" i="1" a="1"/>
  <c r="Z4" i="1" a="1"/>
  <c r="O6" i="1" a="1"/>
  <c r="P6" i="1" a="1"/>
  <c r="H4" i="1" a="1"/>
  <c r="K6" i="1" a="1"/>
  <c r="V6" i="1" a="1"/>
  <c r="Y6" i="1" a="1"/>
  <c r="AA6" i="1" a="1"/>
  <c r="AD6" i="1" a="1"/>
  <c r="R4" i="1" a="1"/>
  <c r="F7" i="1"/>
  <c r="T6" i="1" a="1"/>
  <c r="C6" i="1" a="1"/>
  <c r="Z6" i="1" a="1"/>
  <c r="AE6" i="1" a="1"/>
  <c r="E6" i="1" a="1"/>
  <c r="H7" i="1"/>
  <c r="N6" i="1" a="1"/>
  <c r="J6" i="1" a="1"/>
  <c r="AF6" i="1" a="1"/>
  <c r="D6" i="1" a="1"/>
  <c r="V4" i="1" a="1"/>
  <c r="I6" i="1" a="1"/>
  <c r="L6" i="1" a="1"/>
  <c r="AH6" i="1" a="1"/>
  <c r="C4" i="1" a="1"/>
  <c r="U6" i="1" a="1"/>
  <c r="R6" i="1" a="1"/>
  <c r="W6" i="1" a="1"/>
  <c r="G6" i="1" a="1"/>
  <c r="AC6" i="1" a="1"/>
  <c r="E7" i="1"/>
  <c r="X6" i="1" a="1"/>
  <c r="S6" i="1" a="1"/>
  <c r="H6" i="1" a="1"/>
  <c r="Q6" i="1" a="1"/>
  <c r="N4" i="1" a="1"/>
  <c r="N7" i="1"/>
  <c r="J7" i="1"/>
  <c r="AG6" i="1" a="1"/>
  <c r="F6" i="1" a="1"/>
  <c r="D4" i="1" a="1"/>
  <c r="AB6" i="1" a="1"/>
  <c r="V7" i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U7" i="1"/>
  <c r="W7" i="1"/>
  <c r="T4" i="1" a="1"/>
  <c r="U4" i="1" a="1"/>
  <c r="AE4" i="1" a="1"/>
  <c r="T7" i="1"/>
  <c r="AH4" i="1" a="1"/>
  <c r="Z7" i="1"/>
  <c r="O4" i="1" a="1"/>
  <c r="S4" i="1" a="1"/>
  <c r="I4" i="1" a="1"/>
  <c r="AH7" i="1"/>
  <c r="AC4" i="1" a="1"/>
  <c r="AC7" i="1"/>
  <c r="K7" i="1"/>
  <c r="P7" i="1"/>
  <c r="M4" i="1" a="1"/>
  <c r="M7" i="1"/>
  <c r="Y7" i="1"/>
  <c r="O7" i="1"/>
  <c r="P4" i="1" a="1"/>
  <c r="AF7" i="1"/>
  <c r="AG4" i="1" a="1"/>
  <c r="AG7" i="1"/>
  <c r="E4" i="1" a="1"/>
  <c r="X4" i="1" a="1"/>
  <c r="L7" i="1"/>
  <c r="AF4" i="1" a="1"/>
  <c r="Q4" i="1" a="1"/>
  <c r="Y4" i="1" a="1"/>
  <c r="L4" i="1" a="1"/>
  <c r="J4" i="1" a="1"/>
  <c r="W4" i="1" a="1"/>
  <c r="AB7" i="1"/>
  <c r="K4" i="1" a="1"/>
  <c r="I7" i="1"/>
  <c r="AA4" i="1" a="1"/>
  <c r="X7" i="1"/>
  <c r="AA7" i="1"/>
  <c r="AB4" i="1" a="1"/>
  <c r="S7" i="1"/>
  <c r="R7" i="1"/>
  <c r="AD4" i="1" a="1"/>
  <c r="AE7" i="1"/>
  <c r="Q7" i="1"/>
  <c r="AD7" i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<sst xmlns="http://schemas.openxmlformats.org/spreadsheetml/2006/main" count="83" uniqueCount="72">
  <si>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</si>
  <si>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</si>
  <si>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</si>
  <si>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</si>
  <si>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</si>
  <si>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</si>
  <si>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</si>
  <si>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</si>
  <si>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</si>
  <si>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</si>
  <si>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</si>
  <si>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</si>
  <si>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</si>
  <si>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</si>
  <si>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</si>
  <si>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</si>
  <si>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</si>
  <si>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</si>
  <si>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</si>
  <si>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</si>
  <si>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</si>
  <si>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</si>
  <si>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</si>
  <si>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</si>
  <si>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</si>
  <si>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</si>
  <si>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</si>
  <si>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</si>
  <si>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</si>
  <si>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</si>
  <si>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</si>
  <si>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</si>
  <si>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</si>
  <si>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</si>
  <si>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</si>
  <si>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</si>
  <si>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</si>
  <si>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</si>
  <si>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</si>
  <si>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</si>
  <si>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</si>
  <si>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</si>
  <si>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</si>
  <si>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</si>
  <si>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</si>
  <si>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</si>
  <si>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</si>
  <si>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</si>
  <si>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</si>
  <si>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</si>
  <si>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</si>
  <si>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</si>
  <si>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</si>
  <si>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</si>
  <si>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</si>
  <si>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</si>
  <si>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</si>
  <si>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</si>
  <si>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</si>
  <si>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</si>
  <si>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</si>
  <si>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</si>
  <si>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</si>
  <si>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</si>
  <si>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</si>
  <si>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</si>
  <si>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</si>
  <si>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MaxL nits</t>
  </si>
  <si>
    <t>MinL nits</t>
  </si>
  <si>
    <t>Patch 8210</t>
  </si>
  <si>
    <t>C:\exes\gd32\EZ-EX11HAS-PRO_APP_DFU_GD32_Ver2.05(5416).hex</t>
  </si>
  <si>
    <t>C:\exes\gd32\ezcoo_ex11has-pro_bt2020_ML385.hex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</si>
</sst>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2" borderId="20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17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4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Border="1" applyProtection="1">
      <protection locked="0"/>
    </xf>
    <xf numFmtId="0" fontId="0" fillId="2" borderId="0" xfId="0" applyFill="1" applyBorder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Border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 applyProtection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Fill="1" applyBorder="1"/>
    <xf numFmtId="0" fontId="1" fillId="2" borderId="28" xfId="0" quotePrefix="1" applyFont="1" applyFill="1" applyBorder="1"/>
    <xf numFmtId="0" fontId="0" fillId="0" borderId="0" xfId="0" applyNumberFormat="1"/>
    <xf numFmtId="165" fontId="0" fillId="0" borderId="16" xfId="0" applyNumberFormat="1" applyFill="1" applyBorder="1" applyAlignment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tabSelected="1" workbookViewId="0">
      <selection activeCell="J24" sqref="J24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0" t="s">
        <v>65</v>
      </c>
      <c r="C5" s="69" t="str">
        <f>DEC2HEX(_xlfn.BITLSHIFT(BIN2DEC(C8),5)+_xlfn.BITLSHIFT(BIN2DEC(D8),2)+_xlfn.BITLSHIFT(BIN2DEC(E8),1)+BIN2DEC(F8))</f>
        <v>47</v>
      </c>
      <c r="D5" s="69"/>
      <c r="E5" s="69"/>
      <c r="F5" s="70"/>
      <c r="G5" s="71" t="str">
        <f>DEC2HEX(_xlfn.BITLSHIFT(BIN2DEC(G8),3)+_xlfn.BITLSHIFT(BIN2DEC(H8),2)+BIN2DEC(I8),2)</f>
        <v>03</v>
      </c>
      <c r="H5" s="67"/>
      <c r="I5" s="68"/>
      <c r="J5" s="71" t="str">
        <f>DEC2HEX(_xlfn.BITLSHIFT(BIN2DEC(J8),3)+_xlfn.BITLSHIFT(BIN2DEC(K8),1)+BIN2DEC(L8),2)</f>
        <v>48</v>
      </c>
      <c r="K5" s="67"/>
      <c r="L5" s="68"/>
      <c r="M5" s="67" t="str">
        <f>BIN2HEX(_xlfn.CONCAT(M8,N8),2)</f>
        <v>57</v>
      </c>
      <c r="N5" s="68"/>
      <c r="O5" s="67" t="str">
        <f>BIN2HEX(_xlfn.CONCAT(O8,P8),2)</f>
        <v>98</v>
      </c>
      <c r="P5" s="68"/>
      <c r="Q5" s="67" t="str">
        <f>BIN2HEX(_xlfn.CONCAT(Q8,R8),2)</f>
        <v>A9</v>
      </c>
      <c r="R5" s="68"/>
      <c r="S5" s="67" t="str">
        <f>BIN2HEX(_xlfn.CONCAT(S8,T8),2)</f>
        <v>53</v>
      </c>
      <c r="T5" s="68"/>
      <c r="AN5" s="4">
        <f t="shared" ref="AN5:AN14" si="0">INT(AP5)</f>
        <v>96</v>
      </c>
      <c r="AO5">
        <v>0</v>
      </c>
      <c r="AP5" s="4" cm="1">
        <f t="array" ref="AP5">PQ2nits((2055+65*AO5)/(2055+31*65))</f>
        <v>96.892947435897241</v>
      </c>
      <c r="AQ5" s="65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" customHeight="1" x14ac:dyDescent="0.3">
      <c r="B6" s="59" t="s">
        <v>66</v>
      </c>
      <c r="C6" s="55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Q6" s="65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8"/>
      <c r="C7" s="56">
        <v>2</v>
      </c>
      <c r="D7" s="10" t="s">
        <v>20</v>
      </c>
      <c r="E7" s="14" t="s">
        <v>18</v>
      </c>
      <c r="F7" s="14" t="s">
        <v>18</v>
      </c>
      <c r="G7" s="66">
        <v>0</v>
      </c>
      <c r="H7" s="14" t="s">
        <v>19</v>
      </c>
      <c r="I7" s="15" t="s">
        <v>27</v>
      </c>
      <c r="J7" s="26">
        <v>385</v>
      </c>
      <c r="K7" s="27">
        <v>0</v>
      </c>
      <c r="L7" s="16" t="s">
        <v>35</v>
      </c>
      <c r="M7" s="23">
        <f>INDEX(AX15:AX17,MATCH(I3,AU15:AU17,0))</f>
        <v>0.17</v>
      </c>
      <c r="N7" s="36" t="s">
        <v>18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Q7" s="65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1"/>
      <c r="C8" s="57" t="s">
        <v>15</v>
      </c>
      <c r="D8" s="17" t="s">
        <v>16</v>
      </c>
      <c r="E8" s="18">
        <f>IF(EXACT(E7,"Supported"),1,0)</f>
        <v>1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01001</v>
      </c>
      <c r="K8" s="28">
        <v>0</v>
      </c>
      <c r="L8" s="19" t="str">
        <f>VLOOKUP(L7,AU5:AV8,2)</f>
        <v>00</v>
      </c>
      <c r="M8" s="29" t="str">
        <f>DEC2BIN(M7/( 0.49609375/127),7)</f>
        <v>0101011</v>
      </c>
      <c r="N8" s="21">
        <f>IF(AND(EXACT(N7,"Supported"),EXACT(P7,"Not Supported")),1,0)</f>
        <v>1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AK8"/>
      <c r="AL8"/>
      <c r="AM8"/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Q8" s="65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Q9" s="65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70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65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71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65" cm="1">
        <f t="array" ref="AQ11">ROUND(PQ2nits((20*$AO11)/(2055+31*65)),3)</f>
        <v>1.9E-2</v>
      </c>
      <c r="AR11" s="5"/>
    </row>
    <row r="12" spans="2:54" x14ac:dyDescent="0.3">
      <c r="B12" s="52" t="s">
        <v>0</v>
      </c>
      <c r="C12" s="53" t="str">
        <f>_xlfn.CONCAT(B5:T5)</f>
        <v>EB0146D0004703485798A953</v>
      </c>
      <c r="D12" s="53"/>
      <c r="E12" s="53"/>
      <c r="F12" s="53"/>
      <c r="G12" s="53"/>
      <c r="H12" s="53"/>
      <c r="I12" s="53"/>
      <c r="J12" s="54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65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5B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65" cm="1">
        <f t="array" ref="AQ13">ROUND(PQ2nits((20*$AO13)/(2055+31*65)),3)</f>
        <v>3.5000000000000003E-2</v>
      </c>
    </row>
    <row r="14" spans="2:54" ht="15" thickBot="1" x14ac:dyDescent="0.35">
      <c r="B14" s="64" t="s">
        <v>69</v>
      </c>
      <c r="C14" s="46" t="str">
        <f>_xlfn.CONCAT(":10821000", RIGHT($C$12,22), "8C0AD08A20",IntelHexChecksum(_xlfn.CONCAT("10821000", RIGHT($C$12,22), "8C0AD08A20")))</f>
        <v>:108210000146D0004703485798A9538C0AD08A20BA</v>
      </c>
      <c r="D14" s="47"/>
      <c r="E14" s="47"/>
      <c r="F14" s="47"/>
      <c r="G14" s="47"/>
      <c r="H14" s="47"/>
      <c r="I14" s="47"/>
      <c r="J14" s="48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Q14" s="65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G15" s="63"/>
      <c r="H15" s="63"/>
      <c r="I15" s="63"/>
      <c r="J15" s="63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65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G16" s="63"/>
      <c r="H16" s="63"/>
      <c r="I16" s="63"/>
      <c r="J16" s="63"/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65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7:54" x14ac:dyDescent="0.3">
      <c r="G17" s="63"/>
      <c r="H17" s="63"/>
      <c r="I17" s="63"/>
      <c r="J17" s="63"/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65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7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65" cm="1">
        <f t="array" ref="AQ18">ROUND(PQ2nits((20*$AO18)/(2055+31*65)),3)</f>
        <v>0.106</v>
      </c>
    </row>
    <row r="19" spans="7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65" cm="1">
        <f t="array" ref="AQ19">ROUND(PQ2nits((20*$AO19)/(2055+31*65)),3)</f>
        <v>0.127</v>
      </c>
    </row>
    <row r="20" spans="7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65" cm="1">
        <f t="array" ref="AQ20">ROUND(PQ2nits((20*$AO20)/(2055+31*65)),3)</f>
        <v>0.15</v>
      </c>
    </row>
    <row r="21" spans="7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65" cm="1">
        <f t="array" ref="AQ21">ROUND(PQ2nits((20*$AO21)/(2055+31*65)),3)</f>
        <v>0.17599999999999999</v>
      </c>
    </row>
    <row r="22" spans="7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65" cm="1">
        <f t="array" ref="AQ22">ROUND(PQ2nits((20*$AO22)/(2055+31*65)),3)</f>
        <v>0.20399999999999999</v>
      </c>
    </row>
    <row r="23" spans="7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65" cm="1">
        <f t="array" ref="AQ23">ROUND(PQ2nits((20*$AO23)/(2055+31*65)),3)</f>
        <v>0.23599999999999999</v>
      </c>
    </row>
    <row r="24" spans="7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65" cm="1">
        <f t="array" ref="AQ24">ROUND(PQ2nits((20*$AO24)/(2055+31*65)),3)</f>
        <v>0.27100000000000002</v>
      </c>
    </row>
    <row r="25" spans="7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65" cm="1">
        <f t="array" ref="AQ25">ROUND(PQ2nits((20*$AO25)/(2055+31*65)),3)</f>
        <v>0.31</v>
      </c>
    </row>
    <row r="26" spans="7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65" cm="1">
        <f t="array" ref="AQ26">ROUND(PQ2nits((20*$AO26)/(2055+31*65)),3)</f>
        <v>0.35299999999999998</v>
      </c>
    </row>
    <row r="27" spans="7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65" cm="1">
        <f t="array" ref="AQ27">ROUND(PQ2nits((20*$AO27)/(2055+31*65)),3)</f>
        <v>0.39900000000000002</v>
      </c>
    </row>
    <row r="28" spans="7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65" cm="1">
        <f t="array" ref="AQ28">ROUND(PQ2nits((20*$AO28)/(2055+31*65)),3)</f>
        <v>0.45</v>
      </c>
    </row>
    <row r="29" spans="7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65" cm="1">
        <f t="array" ref="AQ29">ROUND(PQ2nits((20*$AO29)/(2055+31*65)),3)</f>
        <v>0.50600000000000001</v>
      </c>
    </row>
    <row r="30" spans="7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65" cm="1">
        <f t="array" ref="AQ30">ROUND(PQ2nits((20*$AO30)/(2055+31*65)),3)</f>
        <v>0.56599999999999995</v>
      </c>
    </row>
    <row r="31" spans="7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65" cm="1">
        <f t="array" ref="AQ31">ROUND(PQ2nits((20*$AO31)/(2055+31*65)),3)</f>
        <v>0.63100000000000001</v>
      </c>
    </row>
    <row r="32" spans="7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65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65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65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6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65" cm="1">
        <f t="array" ref="AQ36">ROUND(PQ2nits((20*$AO36)/(2055+31*65)),3)</f>
        <v>1.048</v>
      </c>
    </row>
    <row r="40" spans="40:43" x14ac:dyDescent="0.3">
      <c r="AP40" s="62"/>
      <c r="AQ40" s="62"/>
    </row>
    <row r="41" spans="40:43" x14ac:dyDescent="0.3">
      <c r="AP41" s="62"/>
      <c r="AQ41" s="62"/>
    </row>
    <row r="42" spans="40:43" x14ac:dyDescent="0.3">
      <c r="AP42" s="62"/>
      <c r="AQ42" s="62"/>
    </row>
    <row r="43" spans="40:43" x14ac:dyDescent="0.3">
      <c r="AP43" s="62"/>
      <c r="AQ43" s="62"/>
    </row>
    <row r="44" spans="40:43" x14ac:dyDescent="0.3">
      <c r="AP44" s="62"/>
      <c r="AQ44" s="62"/>
    </row>
    <row r="45" spans="40:43" x14ac:dyDescent="0.3">
      <c r="AP45" s="62"/>
      <c r="AQ45" s="62"/>
    </row>
    <row r="46" spans="40:43" x14ac:dyDescent="0.3">
      <c r="AP46" s="62"/>
      <c r="AQ46" s="62"/>
    </row>
    <row r="47" spans="40:43" x14ac:dyDescent="0.3">
      <c r="AP47" s="62"/>
      <c r="AQ47" s="62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Custom 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2022-11-17T17:07:47Z</dcterms:modified>
</cp:coreProperties>
</file>