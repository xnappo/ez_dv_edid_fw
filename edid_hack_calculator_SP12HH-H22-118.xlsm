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B7DA844A-D0EB-4427-8462-A32EE7F2F216}" xr6:coauthVersionLast="47" xr6:coauthVersionMax="47" xr10:uidLastSave="{00000000-0000-0000-0000-000000000000}"/>
  <bookViews>
    <workbookView xWindow="9930" yWindow="6555" windowWidth="28086" windowHeight="13893" firstSheet="1" activeTab="1" xr2:uid="{DE808AFE-8AFE-4111-8161-9EF8B03B2A2C}"/>
  </bookViews>
  <sheets>
    <sheet name="Patcher" sheetId="1" r:id="rId1"/>
    <sheet name="Custom DV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26" i="5" l="1" a="1"/>
  <c r="AQ27" i="5" a="1"/>
  <c r="AQ10" i="5" a="1"/>
  <c r="AP35" i="5" a="1"/>
  <c r="AP23" i="5" a="1"/>
  <c r="AQ26" i="5" a="1"/>
  <c r="AQ9" i="5" a="1"/>
  <c r="AP34" i="5" a="1"/>
  <c r="AP16" i="5" a="1"/>
  <c r="AQ7" i="5" a="1"/>
  <c r="AQ11" i="5" a="1"/>
  <c r="AQ13" i="5" a="1"/>
  <c r="AP32" i="5" a="1"/>
  <c r="AP20" i="5" a="1"/>
  <c r="AQ36" i="5" a="1"/>
  <c r="AQ33" i="5" a="1"/>
  <c r="AP12" i="5" a="1"/>
  <c r="AQ14" i="5" a="1"/>
  <c r="AQ16" i="5" a="1"/>
  <c r="AQ21" i="5" a="1"/>
  <c r="AP33" i="5" a="1"/>
  <c r="AP13" i="5" a="1"/>
  <c r="AQ23" i="5" a="1"/>
  <c r="AQ6" i="5" a="1"/>
  <c r="AP29" i="5" a="1"/>
  <c r="AP10" i="5" a="1"/>
  <c r="AQ22" i="5" a="1"/>
  <c r="AQ5" i="5" a="1"/>
  <c r="AP28" i="5" a="1"/>
  <c r="AQ32" i="5" a="1"/>
  <c r="AP15" i="5" a="1"/>
  <c r="AP7" i="5" a="1"/>
  <c r="AP31" i="5" a="1"/>
  <c r="AQ28" i="5" a="1"/>
  <c r="AQ25" i="5" a="1"/>
  <c r="AQ20" i="5" a="1"/>
  <c r="AQ17" i="5" a="1"/>
  <c r="AQ31" i="5" a="1"/>
  <c r="AQ30" i="5" a="1"/>
  <c r="AP5" i="5" a="1"/>
  <c r="AP25" i="5" a="1"/>
  <c r="AP22" i="5" a="1"/>
  <c r="AQ35" i="5" a="1"/>
  <c r="AQ19" i="5" a="1"/>
  <c r="AP24" i="5" a="1"/>
  <c r="AP19" i="5" a="1"/>
  <c r="AQ34" i="5" a="1"/>
  <c r="AQ18" i="5" a="1"/>
  <c r="AP21" i="5" a="1"/>
  <c r="AP17" i="5" a="1"/>
  <c r="AQ24" i="5" a="1"/>
  <c r="AP30" i="5" a="1"/>
  <c r="AQ29" i="5" a="1"/>
  <c r="AP6" i="5" a="1"/>
  <c r="AQ12" i="5" a="1"/>
  <c r="AQ8" i="5" a="1"/>
  <c r="AP27" i="5" a="1"/>
  <c r="AP18" i="5" a="1"/>
  <c r="AQ15" i="5" a="1"/>
  <c r="AP8" i="5" a="1"/>
  <c r="AP9" i="5" a="1"/>
  <c r="AP11" i="5" a="1"/>
  <c r="AP36" i="5" a="1"/>
  <c r="AP14" i="5" a="1"/>
  <c r="AP5" i="5" l="1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M7" i="5"/>
  <c r="M8" i="5" s="1"/>
  <c r="G5" i="5"/>
  <c r="C5" i="5"/>
  <c r="O5" i="5" l="1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4" i="5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M6" i="1" a="1"/>
  <c r="O6" i="1" a="1"/>
  <c r="F4" i="1" a="1"/>
  <c r="D7" i="1"/>
  <c r="P6" i="1" a="1"/>
  <c r="Y6" i="1" a="1"/>
  <c r="F7" i="1"/>
  <c r="AE6" i="1" a="1"/>
  <c r="J6" i="1" a="1"/>
  <c r="I6" i="1" a="1"/>
  <c r="U6" i="1" a="1"/>
  <c r="AC6" i="1" a="1"/>
  <c r="H6" i="1" a="1"/>
  <c r="J7" i="1"/>
  <c r="AB6" i="1" a="1"/>
  <c r="G4" i="1" a="1"/>
  <c r="H4" i="1" a="1"/>
  <c r="AA6" i="1" a="1"/>
  <c r="T6" i="1" a="1"/>
  <c r="E6" i="1" a="1"/>
  <c r="AF6" i="1" a="1"/>
  <c r="L6" i="1" a="1"/>
  <c r="R6" i="1" a="1"/>
  <c r="E7" i="1"/>
  <c r="Q6" i="1" a="1"/>
  <c r="AG6" i="1" a="1"/>
  <c r="V7" i="1"/>
  <c r="G7" i="1"/>
  <c r="Z4" i="1" a="1"/>
  <c r="K6" i="1" a="1"/>
  <c r="AD6" i="1" a="1"/>
  <c r="C6" i="1" a="1"/>
  <c r="H7" i="1"/>
  <c r="D6" i="1" a="1"/>
  <c r="AH6" i="1" a="1"/>
  <c r="W6" i="1" a="1"/>
  <c r="X6" i="1" a="1"/>
  <c r="N4" i="1" a="1"/>
  <c r="F6" i="1" a="1"/>
  <c r="V6" i="1" a="1"/>
  <c r="R4" i="1" a="1"/>
  <c r="Z6" i="1" a="1"/>
  <c r="N6" i="1" a="1"/>
  <c r="V4" i="1" a="1"/>
  <c r="C4" i="1" a="1"/>
  <c r="G6" i="1" a="1"/>
  <c r="S6" i="1" a="1"/>
  <c r="N7" i="1"/>
  <c r="D4" i="1" a="1"/>
  <c r="C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Z7" i="1"/>
  <c r="AH7" i="1"/>
  <c r="P7" i="1"/>
  <c r="O7" i="1"/>
  <c r="AG7" i="1"/>
  <c r="AF4" i="1" a="1"/>
  <c r="J4" i="1" a="1"/>
  <c r="I7" i="1"/>
  <c r="AB4" i="1" a="1"/>
  <c r="AE7" i="1"/>
  <c r="AE4" i="1" a="1"/>
  <c r="O4" i="1" a="1"/>
  <c r="AC4" i="1" a="1"/>
  <c r="P4" i="1" a="1"/>
  <c r="E4" i="1" a="1"/>
  <c r="Q4" i="1" a="1"/>
  <c r="W4" i="1" a="1"/>
  <c r="AA4" i="1" a="1"/>
  <c r="Q7" i="1"/>
  <c r="W7" i="1"/>
  <c r="AC7" i="1"/>
  <c r="AF7" i="1"/>
  <c r="Y4" i="1" a="1"/>
  <c r="AB7" i="1"/>
  <c r="R7" i="1"/>
  <c r="T4" i="1" a="1"/>
  <c r="I4" i="1" a="1"/>
  <c r="AG4" i="1" a="1"/>
  <c r="AA7" i="1"/>
  <c r="U7" i="1"/>
  <c r="M4" i="1" a="1"/>
  <c r="S7" i="1"/>
  <c r="T7" i="1"/>
  <c r="M7" i="1"/>
  <c r="X4" i="1" a="1"/>
  <c r="X7" i="1"/>
  <c r="AD7" i="1"/>
  <c r="AH4" i="1" a="1"/>
  <c r="K7" i="1"/>
  <c r="Y7" i="1"/>
  <c r="L7" i="1"/>
  <c r="L4" i="1" a="1"/>
  <c r="AD4" i="1" a="1"/>
  <c r="S4" i="1" a="1"/>
  <c r="K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<sst xmlns="http://schemas.openxmlformats.org/spreadsheetml/2006/main" count="83" uniqueCount="72">
  <si>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</si>
  <si>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</si>
  <si>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</si>
  <si>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</si>
  <si>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</si>
  <si>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</si>
  <si>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</si>
  <si>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</si>
  <si>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</si>
  <si>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</si>
  <si>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</si>
  <si>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</si>
  <si>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</si>
  <si>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</si>
  <si>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</si>
  <si>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</si>
  <si>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</si>
  <si>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</si>
  <si>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</si>
  <si>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</si>
  <si>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</si>
  <si>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</si>
  <si>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</si>
  <si>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</si>
  <si>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</si>
  <si>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</si>
  <si>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</si>
  <si>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</si>
  <si>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</si>
  <si>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</si>
  <si>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</si>
  <si>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</si>
  <si>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</si>
  <si>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</si>
  <si>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</si>
  <si>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</si>
  <si>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</si>
  <si>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</si>
  <si>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</si>
  <si>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</si>
  <si>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</si>
  <si>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</si>
  <si>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</si>
  <si>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</si>
  <si>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</si>
  <si>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</si>
  <si>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</si>
  <si>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</si>
  <si>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</si>
  <si>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</si>
  <si>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</si>
  <si>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</si>
  <si>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</si>
  <si>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</si>
  <si>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</si>
  <si>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</si>
  <si>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</si>
  <si>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</si>
  <si>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</si>
  <si>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</si>
  <si>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</si>
  <si>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</si>
  <si>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</si>
  <si>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</si>
  <si>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</si>
  <si>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</si>
  <si>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</si>
  <si>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</si>
  <si>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</si>
  <si>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C:\exes\gd32\SP12HH-H22-118 V1.43.hex</t>
  </si>
  <si>
    <t>C:\exes\gd32\ezcoo_sp12hh-h22_bt2020_ML385.hex</t>
  </si>
  <si>
    <t>Patch 112000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</si>
</sst>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tabSelected="1" workbookViewId="0">
      <selection activeCell="H23" sqref="H23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64" t="str">
        <f>DEC2HEX(_xlfn.BITLSHIFT(BIN2DEC(C8),5)+_xlfn.BITLSHIFT(BIN2DEC(D8),2)+_xlfn.BITLSHIFT(BIN2DEC(E8),1)+BIN2DEC(F8))</f>
        <v>47</v>
      </c>
      <c r="D5" s="64"/>
      <c r="E5" s="64"/>
      <c r="F5" s="65"/>
      <c r="G5" s="66" t="str">
        <f>DEC2HEX(_xlfn.BITLSHIFT(BIN2DEC(G8),3)+_xlfn.BITLSHIFT(BIN2DEC(H8),2)+BIN2DEC(I8),2)</f>
        <v>03</v>
      </c>
      <c r="H5" s="62"/>
      <c r="I5" s="63"/>
      <c r="J5" s="66" t="str">
        <f>DEC2HEX(_xlfn.BITLSHIFT(BIN2DEC(J8),3)+_xlfn.BITLSHIFT(BIN2DEC(K8),1)+BIN2DEC(L8),2)</f>
        <v>48</v>
      </c>
      <c r="K5" s="62"/>
      <c r="L5" s="63"/>
      <c r="M5" s="62" t="str">
        <f>BIN2HEX(_xlfn.CONCAT(M8,N8),2)</f>
        <v>57</v>
      </c>
      <c r="N5" s="63"/>
      <c r="O5" s="62" t="str">
        <f>BIN2HEX(_xlfn.CONCAT(O8,P8),2)</f>
        <v>98</v>
      </c>
      <c r="P5" s="63"/>
      <c r="Q5" s="62" t="str">
        <f>BIN2HEX(_xlfn.CONCAT(Q8,R8),2)</f>
        <v>A9</v>
      </c>
      <c r="R5" s="63"/>
      <c r="S5" s="62" t="str">
        <f>BIN2HEX(_xlfn.CONCAT(S8,T8),2)</f>
        <v>53</v>
      </c>
      <c r="T5" s="63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18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69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70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EB0146D0004703485798A953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5B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71</v>
      </c>
      <c r="C14" s="43" t="str">
        <f>_xlfn.CONCAT(":10112000D00", RIGHT($C$12,15), "8C0AD08A20E02D",IntelHexChecksum(_xlfn.CONCAT("10821000", RIGHT($C$12,22), "8C0AD08A20E02D")))</f>
        <v>:10112000D0004703485798A9538C0AD08A20E02DAD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2023-03-11T17:42:06Z</dcterms:modified>
</cp:coreProperties>
</file>