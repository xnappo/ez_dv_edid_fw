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es\ez_dv_edid_fw\"/>
    </mc:Choice>
  </mc:AlternateContent>
  <xr:revisionPtr revIDLastSave="0" documentId="13_ncr:1_{94CEF0E9-6979-46E8-BD99-9858DF76C4B6}" xr6:coauthVersionLast="47" xr6:coauthVersionMax="47" xr10:uidLastSave="{00000000-0000-0000-0000-000000000000}"/>
  <bookViews>
    <workbookView xWindow="22441" yWindow="4170" windowWidth="18616" windowHeight="15310" firstSheet="1" activeTab="1" xr2:uid="{DE808AFE-8AFE-4111-8161-9EF8B03B2A2C}"/>
  </bookViews>
  <sheets>
    <sheet name="Patcher" sheetId="1" r:id="rId1"/>
    <sheet name="Custom DV" sheetId="5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8" i="5" l="1"/>
  <c r="N8" i="5"/>
  <c r="L8" i="5"/>
  <c r="I8" i="5"/>
  <c r="H8" i="5"/>
  <c r="F8" i="5"/>
  <c r="E8" i="5"/>
  <c r="T7" i="5"/>
  <c r="T8" i="5" s="1"/>
  <c r="S7" i="5"/>
  <c r="S8" i="5" s="1"/>
  <c r="S5" i="5" s="1"/>
  <c r="R7" i="5"/>
  <c r="R8" i="5" s="1"/>
  <c r="Q7" i="5"/>
  <c r="Q8" i="5" s="1"/>
  <c r="O7" i="5"/>
  <c r="O8" i="5" s="1"/>
  <c r="M7" i="5"/>
  <c r="M8" i="5" s="1"/>
  <c r="C5" i="5"/>
  <c r="C15" i="5"/>
  <c r="AP36" i="5" a="1"/>
  <c r="AP35" i="5" a="1"/>
  <c r="AQ13" i="5" a="1"/>
  <c r="AQ34" i="5" a="1"/>
  <c r="AQ22" i="5" a="1"/>
  <c r="AQ6" i="5" a="1"/>
  <c r="AQ5" i="5" a="1"/>
  <c r="AP7" i="5" a="1"/>
  <c r="AQ21" i="5" a="1"/>
  <c r="AP5" i="5" a="1"/>
  <c r="AQ20" i="5" a="1"/>
  <c r="AQ19" i="5" a="1"/>
  <c r="AP31" i="5" a="1"/>
  <c r="AQ8" i="5" a="1"/>
  <c r="AP8" i="5" a="1"/>
  <c r="AP27" i="5" a="1"/>
  <c r="AP33" i="5" a="1"/>
  <c r="AP30" i="5" a="1"/>
  <c r="AP26" i="5" a="1"/>
  <c r="AP22" i="5" a="1"/>
  <c r="AP9" i="5" a="1"/>
  <c r="AQ15" i="5" a="1"/>
  <c r="AQ28" i="5" a="1"/>
  <c r="AQ27" i="5" a="1"/>
  <c r="AQ7" i="5" a="1"/>
  <c r="AP21" i="5" a="1"/>
  <c r="AQ14" i="5" a="1"/>
  <c r="AP13" i="5" a="1"/>
  <c r="AP10" i="5" a="1"/>
  <c r="AQ33" i="5" a="1"/>
  <c r="AQ29" i="5" a="1"/>
  <c r="AQ32" i="5" a="1"/>
  <c r="AP23" i="5" a="1"/>
  <c r="AP20" i="5" a="1"/>
  <c r="AP18" i="5" a="1"/>
  <c r="AP6" i="5" a="1"/>
  <c r="AP19" i="5" a="1"/>
  <c r="AP11" i="5" a="1"/>
  <c r="AP14" i="5" a="1"/>
  <c r="AP17" i="5" a="1"/>
  <c r="AP34" i="5" a="1"/>
  <c r="AP32" i="5" a="1"/>
  <c r="AP25" i="5" a="1"/>
  <c r="AP28" i="5" a="1"/>
  <c r="AP15" i="5" a="1"/>
  <c r="AQ10" i="5" a="1"/>
  <c r="AQ9" i="5" a="1"/>
  <c r="AQ11" i="5" a="1"/>
  <c r="AQ37" i="5" a="1"/>
  <c r="AQ17" i="5" a="1"/>
  <c r="AQ24" i="5" a="1"/>
  <c r="AQ23" i="5" a="1"/>
  <c r="AP16" i="5" a="1"/>
  <c r="AQ26" i="5" a="1"/>
  <c r="AQ31" i="5" a="1"/>
  <c r="AQ36" i="5" a="1"/>
  <c r="AQ35" i="5" a="1"/>
  <c r="AQ25" i="5" a="1"/>
  <c r="AQ12" i="5" a="1"/>
  <c r="AQ16" i="5" a="1"/>
  <c r="AP37" i="5" a="1"/>
  <c r="AP24" i="5" a="1"/>
  <c r="AP12" i="5" a="1"/>
  <c r="AP29" i="5" a="1"/>
  <c r="AQ18" i="5" a="1"/>
  <c r="AQ30" i="5" a="1"/>
  <c r="AQ30" i="5" l="1"/>
  <c r="AQ18" i="5"/>
  <c r="AP29" i="5"/>
  <c r="AP12" i="5"/>
  <c r="AN12" i="5" s="1"/>
  <c r="AP24" i="5"/>
  <c r="AP37" i="5"/>
  <c r="AN37" i="5" s="1"/>
  <c r="AQ16" i="5"/>
  <c r="AQ12" i="5"/>
  <c r="AQ25" i="5"/>
  <c r="AQ35" i="5"/>
  <c r="AQ36" i="5"/>
  <c r="AQ31" i="5"/>
  <c r="AQ26" i="5"/>
  <c r="AP16" i="5"/>
  <c r="AN16" i="5" s="1"/>
  <c r="AQ23" i="5"/>
  <c r="AQ24" i="5"/>
  <c r="AQ17" i="5"/>
  <c r="AQ37" i="5"/>
  <c r="AQ11" i="5"/>
  <c r="AQ9" i="5"/>
  <c r="AQ10" i="5"/>
  <c r="AP15" i="5"/>
  <c r="AN15" i="5" s="1"/>
  <c r="AP28" i="5"/>
  <c r="AP25" i="5"/>
  <c r="AN25" i="5" s="1"/>
  <c r="AP32" i="5"/>
  <c r="AP34" i="5"/>
  <c r="AP17" i="5"/>
  <c r="AN17" i="5" s="1"/>
  <c r="AP14" i="5"/>
  <c r="AN14" i="5" s="1"/>
  <c r="AP11" i="5"/>
  <c r="AP19" i="5"/>
  <c r="AP6" i="5"/>
  <c r="AN6" i="5" s="1"/>
  <c r="AP18" i="5"/>
  <c r="AN18" i="5" s="1"/>
  <c r="AP20" i="5"/>
  <c r="AP23" i="5"/>
  <c r="AN23" i="5" s="1"/>
  <c r="AQ32" i="5"/>
  <c r="AQ29" i="5"/>
  <c r="AQ33" i="5"/>
  <c r="AP10" i="5"/>
  <c r="AP13" i="5"/>
  <c r="AQ14" i="5"/>
  <c r="AP21" i="5"/>
  <c r="AQ7" i="5"/>
  <c r="AQ27" i="5"/>
  <c r="AQ28" i="5"/>
  <c r="AQ15" i="5"/>
  <c r="AP9" i="5"/>
  <c r="AP22" i="5"/>
  <c r="AP26" i="5"/>
  <c r="AN26" i="5" s="1"/>
  <c r="AP30" i="5"/>
  <c r="AP33" i="5"/>
  <c r="AN33" i="5" s="1"/>
  <c r="AP27" i="5"/>
  <c r="AN27" i="5" s="1"/>
  <c r="AP8" i="5"/>
  <c r="AN8" i="5" s="1"/>
  <c r="AQ8" i="5"/>
  <c r="AP31" i="5"/>
  <c r="AQ19" i="5"/>
  <c r="AQ20" i="5"/>
  <c r="AP5" i="5"/>
  <c r="AQ21" i="5"/>
  <c r="AP7" i="5"/>
  <c r="AN7" i="5" s="1"/>
  <c r="AQ5" i="5"/>
  <c r="G8" i="5" s="1"/>
  <c r="G5" i="5" s="1"/>
  <c r="AQ6" i="5"/>
  <c r="AQ22" i="5"/>
  <c r="AQ34" i="5"/>
  <c r="AQ13" i="5"/>
  <c r="AP35" i="5"/>
  <c r="AP36" i="5"/>
  <c r="O5" i="5"/>
  <c r="M5" i="5"/>
  <c r="AN5" i="5"/>
  <c r="AN9" i="5"/>
  <c r="AN19" i="5"/>
  <c r="AN31" i="5"/>
  <c r="AN35" i="5"/>
  <c r="AN22" i="5"/>
  <c r="AN30" i="5"/>
  <c r="AN34" i="5"/>
  <c r="AN11" i="5"/>
  <c r="AN21" i="5"/>
  <c r="AN29" i="5"/>
  <c r="AN10" i="5"/>
  <c r="AN13" i="5"/>
  <c r="AN20" i="5"/>
  <c r="AN24" i="5"/>
  <c r="AN28" i="5"/>
  <c r="AN32" i="5"/>
  <c r="AN36" i="5"/>
  <c r="Q5" i="5"/>
  <c r="J8" i="5" l="1"/>
  <c r="J5" i="5" s="1"/>
  <c r="C12" i="5" s="1"/>
  <c r="C14" i="5"/>
  <c r="C13" i="5" a="1"/>
  <c r="C13" i="5" l="1"/>
  <c r="AD3" i="1"/>
  <c r="AD5" i="1" s="1"/>
  <c r="AE3" i="1"/>
  <c r="AF3" i="1"/>
  <c r="AF5" i="1" s="1"/>
  <c r="AG3" i="1"/>
  <c r="AG5" i="1" s="1"/>
  <c r="AH3" i="1"/>
  <c r="AH5" i="1" s="1"/>
  <c r="AE5" i="1"/>
  <c r="I3" i="1"/>
  <c r="J3" i="1"/>
  <c r="K3" i="1"/>
  <c r="K5" i="1" s="1"/>
  <c r="L3" i="1"/>
  <c r="L5" i="1" s="1"/>
  <c r="M3" i="1"/>
  <c r="N3" i="1"/>
  <c r="O3" i="1"/>
  <c r="O5" i="1" s="1"/>
  <c r="P3" i="1"/>
  <c r="P5" i="1" s="1"/>
  <c r="Q3" i="1"/>
  <c r="R3" i="1"/>
  <c r="S3" i="1"/>
  <c r="S5" i="1" s="1"/>
  <c r="T3" i="1"/>
  <c r="T5" i="1" s="1"/>
  <c r="U3" i="1"/>
  <c r="V3" i="1"/>
  <c r="W3" i="1"/>
  <c r="W5" i="1" s="1"/>
  <c r="X3" i="1"/>
  <c r="X5" i="1" s="1"/>
  <c r="Y3" i="1"/>
  <c r="Z3" i="1"/>
  <c r="AA3" i="1"/>
  <c r="AA5" i="1" s="1"/>
  <c r="AB3" i="1"/>
  <c r="AB5" i="1" s="1"/>
  <c r="AC3" i="1"/>
  <c r="I5" i="1"/>
  <c r="J5" i="1"/>
  <c r="M5" i="1"/>
  <c r="N5" i="1"/>
  <c r="Q5" i="1"/>
  <c r="R5" i="1"/>
  <c r="U5" i="1"/>
  <c r="V5" i="1"/>
  <c r="Y5" i="1"/>
  <c r="Z5" i="1"/>
  <c r="AC5" i="1"/>
  <c r="H3" i="1"/>
  <c r="H5" i="1" s="1"/>
  <c r="G3" i="1"/>
  <c r="G5" i="1" s="1"/>
  <c r="F3" i="1"/>
  <c r="F5" i="1" s="1"/>
  <c r="E3" i="1"/>
  <c r="E5" i="1" s="1"/>
  <c r="D3" i="1"/>
  <c r="D5" i="1" s="1"/>
  <c r="C3" i="1"/>
  <c r="C5" i="1" s="1"/>
  <c r="D7" i="1"/>
  <c r="AE6" i="1" a="1"/>
  <c r="AC6" i="1" a="1"/>
  <c r="G4" i="1" a="1"/>
  <c r="E6" i="1" a="1"/>
  <c r="E7" i="1"/>
  <c r="G7" i="1"/>
  <c r="C6" i="1" a="1"/>
  <c r="W6" i="1" a="1"/>
  <c r="V6" i="1" a="1"/>
  <c r="V4" i="1" a="1"/>
  <c r="N7" i="1"/>
  <c r="C4" i="1" a="1"/>
  <c r="O6" i="1" a="1"/>
  <c r="I6" i="1" a="1"/>
  <c r="AA6" i="1" a="1"/>
  <c r="L6" i="1" a="1"/>
  <c r="AG6" i="1" a="1"/>
  <c r="D6" i="1" a="1"/>
  <c r="N4" i="1" a="1"/>
  <c r="F4" i="1" a="1"/>
  <c r="AB6" i="1" a="1"/>
  <c r="R6" i="1" a="1"/>
  <c r="AD6" i="1" a="1"/>
  <c r="AH6" i="1" a="1"/>
  <c r="N6" i="1" a="1"/>
  <c r="S6" i="1" a="1"/>
  <c r="M6" i="1" a="1"/>
  <c r="P6" i="1" a="1"/>
  <c r="J6" i="1" a="1"/>
  <c r="H6" i="1" a="1"/>
  <c r="H4" i="1" a="1"/>
  <c r="AF6" i="1" a="1"/>
  <c r="Q6" i="1" a="1"/>
  <c r="Z4" i="1" a="1"/>
  <c r="H7" i="1"/>
  <c r="X6" i="1" a="1"/>
  <c r="R4" i="1" a="1"/>
  <c r="D4" i="1" a="1"/>
  <c r="Y6" i="1" a="1"/>
  <c r="J7" i="1"/>
  <c r="K6" i="1" a="1"/>
  <c r="Z6" i="1" a="1"/>
  <c r="G6" i="1" a="1"/>
  <c r="C7" i="1"/>
  <c r="F7" i="1"/>
  <c r="U6" i="1" a="1"/>
  <c r="T6" i="1" a="1"/>
  <c r="V7" i="1"/>
  <c r="F6" i="1" a="1"/>
  <c r="C4" i="1" l="1"/>
  <c r="AE6" i="1"/>
  <c r="AA6" i="1"/>
  <c r="W6" i="1"/>
  <c r="S6" i="1"/>
  <c r="Q6" i="1"/>
  <c r="O6" i="1"/>
  <c r="M6" i="1"/>
  <c r="K6" i="1"/>
  <c r="I6" i="1"/>
  <c r="E6" i="1"/>
  <c r="Y6" i="1"/>
  <c r="G6" i="1"/>
  <c r="AG6" i="1"/>
  <c r="AC6" i="1"/>
  <c r="U6" i="1"/>
  <c r="AH6" i="1"/>
  <c r="AF6" i="1"/>
  <c r="AD6" i="1"/>
  <c r="AB6" i="1"/>
  <c r="Z6" i="1"/>
  <c r="X6" i="1"/>
  <c r="V6" i="1"/>
  <c r="T6" i="1"/>
  <c r="R6" i="1"/>
  <c r="P6" i="1"/>
  <c r="N6" i="1"/>
  <c r="L6" i="1"/>
  <c r="J6" i="1"/>
  <c r="H6" i="1"/>
  <c r="F6" i="1"/>
  <c r="D6" i="1"/>
  <c r="Z4" i="1"/>
  <c r="R4" i="1"/>
  <c r="V4" i="1"/>
  <c r="N4" i="1"/>
  <c r="G4" i="1"/>
  <c r="H4" i="1"/>
  <c r="F4" i="1"/>
  <c r="D4" i="1"/>
  <c r="C6" i="1"/>
  <c r="P7" i="1"/>
  <c r="J4" i="1" a="1"/>
  <c r="AE4" i="1" a="1"/>
  <c r="E4" i="1" a="1"/>
  <c r="Q7" i="1"/>
  <c r="Y4" i="1" a="1"/>
  <c r="I4" i="1" a="1"/>
  <c r="M4" i="1" a="1"/>
  <c r="X4" i="1" a="1"/>
  <c r="K7" i="1"/>
  <c r="AD4" i="1" a="1"/>
  <c r="AF4" i="1" a="1"/>
  <c r="AF7" i="1"/>
  <c r="U7" i="1"/>
  <c r="AH4" i="1" a="1"/>
  <c r="U4" i="1" a="1"/>
  <c r="O7" i="1"/>
  <c r="I7" i="1"/>
  <c r="O4" i="1" a="1"/>
  <c r="Q4" i="1" a="1"/>
  <c r="W7" i="1"/>
  <c r="AB7" i="1"/>
  <c r="AG4" i="1" a="1"/>
  <c r="S7" i="1"/>
  <c r="X7" i="1"/>
  <c r="Y7" i="1"/>
  <c r="S4" i="1" a="1"/>
  <c r="AC4" i="1" a="1"/>
  <c r="W4" i="1" a="1"/>
  <c r="AC7" i="1"/>
  <c r="R7" i="1"/>
  <c r="AA7" i="1"/>
  <c r="AD7" i="1"/>
  <c r="L7" i="1"/>
  <c r="AH7" i="1"/>
  <c r="P4" i="1" a="1"/>
  <c r="T4" i="1" a="1"/>
  <c r="L4" i="1" a="1"/>
  <c r="Z7" i="1"/>
  <c r="AG7" i="1"/>
  <c r="AB4" i="1" a="1"/>
  <c r="T7" i="1"/>
  <c r="K4" i="1" a="1"/>
  <c r="AE7" i="1"/>
  <c r="AA4" i="1" a="1"/>
  <c r="M7" i="1"/>
  <c r="E4" i="1" l="1"/>
  <c r="AF4" i="1"/>
  <c r="J4" i="1"/>
  <c r="AG4" i="1"/>
  <c r="AD4" i="1"/>
  <c r="AE4" i="1"/>
  <c r="AH4" i="1"/>
  <c r="Q4" i="1"/>
  <c r="X4" i="1"/>
  <c r="U4" i="1"/>
  <c r="AA4" i="1"/>
  <c r="S4" i="1"/>
  <c r="Y4" i="1"/>
  <c r="L4" i="1"/>
  <c r="T4" i="1"/>
  <c r="AB4" i="1"/>
  <c r="O4" i="1"/>
  <c r="P4" i="1"/>
  <c r="K4" i="1"/>
  <c r="W4" i="1"/>
  <c r="I4" i="1"/>
  <c r="M4" i="1"/>
  <c r="AC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<sst xmlns="http://schemas.openxmlformats.org/spreadsheetml/2006/main" count="92" uniqueCount="73">
  <si>
    <t>DV String</t>
  </si>
  <si>
    <t>EDID Checksum</t>
  </si>
  <si>
    <t>Max Lum</t>
  </si>
  <si>
    <t>Max Lum #</t>
  </si>
  <si>
    <t>Max Lum DVVal</t>
  </si>
  <si>
    <t>Patch 74A0</t>
  </si>
  <si>
    <t>01</t>
  </si>
  <si>
    <t>00</t>
  </si>
  <si>
    <t>YUV 12-bit</t>
  </si>
  <si>
    <t>Backlight</t>
  </si>
  <si>
    <t>Version</t>
  </si>
  <si>
    <t>Reserved</t>
  </si>
  <si>
    <t>DM Version</t>
  </si>
  <si>
    <t>By[2:0]</t>
  </si>
  <si>
    <t>Bx[2:0]</t>
  </si>
  <si>
    <t>010</t>
  </si>
  <si>
    <t>001</t>
  </si>
  <si>
    <t>Backlight
Ctrl</t>
  </si>
  <si>
    <t>Supported</t>
  </si>
  <si>
    <t>Not Supported</t>
  </si>
  <si>
    <t>3.x</t>
  </si>
  <si>
    <t>50 nits</t>
  </si>
  <si>
    <t>25 nits</t>
  </si>
  <si>
    <t>10b 444[0]</t>
  </si>
  <si>
    <t>12b 444[1]</t>
  </si>
  <si>
    <t>ML Val</t>
  </si>
  <si>
    <t>75 nits</t>
  </si>
  <si>
    <t>100 nits</t>
  </si>
  <si>
    <t>10</t>
  </si>
  <si>
    <t>11</t>
  </si>
  <si>
    <t>Disabled</t>
  </si>
  <si>
    <t>Color Space:</t>
  </si>
  <si>
    <t>value</t>
  </si>
  <si>
    <t>Mode</t>
  </si>
  <si>
    <t>Value</t>
  </si>
  <si>
    <t>LLDV</t>
  </si>
  <si>
    <t>LLDV + LLDV-HDMI</t>
  </si>
  <si>
    <t>DV Mode</t>
  </si>
  <si>
    <t>Std + LLDV</t>
  </si>
  <si>
    <t>Std + LLDV + LLDV-HDMI</t>
  </si>
  <si>
    <t>Global
Dimming</t>
  </si>
  <si>
    <t>Color Space</t>
  </si>
  <si>
    <t>BT709</t>
  </si>
  <si>
    <t>BT2020</t>
  </si>
  <si>
    <t>DCI-P3</t>
  </si>
  <si>
    <t>Rx</t>
  </si>
  <si>
    <t>Ry</t>
  </si>
  <si>
    <t>Gx</t>
  </si>
  <si>
    <t>Gy</t>
  </si>
  <si>
    <t>Bx</t>
  </si>
  <si>
    <t>By</t>
  </si>
  <si>
    <t>https://en.wikipedia.org/wiki/Rec._2020</t>
  </si>
  <si>
    <t>https://en.wikipedia.org/wiki/DCI-P3</t>
  </si>
  <si>
    <t>https://en.wikipedia.org/wiki/Rec._709</t>
  </si>
  <si>
    <t>Source</t>
  </si>
  <si>
    <t>Ry[4:0]</t>
  </si>
  <si>
    <t>Rx[4:0]</t>
  </si>
  <si>
    <t>Gy[6:0]</t>
  </si>
  <si>
    <t>Gx[6:0]</t>
  </si>
  <si>
    <t>Backlight
Min Lum</t>
  </si>
  <si>
    <t>Min Lum
Nits</t>
  </si>
  <si>
    <t>Max Lum
Nits</t>
  </si>
  <si>
    <t>Checksum</t>
  </si>
  <si>
    <t>Original FW</t>
  </si>
  <si>
    <t>Output FW</t>
  </si>
  <si>
    <t>EB0146D000</t>
  </si>
  <si>
    <t>Standard
Header</t>
  </si>
  <si>
    <t>MaxL nits</t>
  </si>
  <si>
    <t>MinL nits</t>
  </si>
  <si>
    <t>Patch 0F00000</t>
  </si>
  <si>
    <t>Patch 0F10000</t>
  </si>
  <si>
    <t>C:\exes\gd32\SP12HH-H22-118-V1.45.hex</t>
  </si>
  <si>
    <t>C:\exes\ez_dv_edid_fw\ezcoo_sp12hh-h22_bt2020_ML385.hex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</si>
</sst>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</fills>
  <borders count="35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1" fillId="0" borderId="0" xfId="0" applyFont="1"/>
    <xf numFmtId="0" fontId="1" fillId="0" borderId="0" xfId="0" quotePrefix="1" applyFont="1"/>
    <xf numFmtId="0" fontId="1" fillId="0" borderId="0" xfId="0" applyFont="1" applyAlignment="1">
      <alignment horizontal="right"/>
    </xf>
    <xf numFmtId="1" fontId="0" fillId="0" borderId="0" xfId="0" applyNumberFormat="1"/>
    <xf numFmtId="0" fontId="0" fillId="0" borderId="0" xfId="0" applyAlignment="1">
      <alignment horizontal="right"/>
    </xf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0" fillId="2" borderId="17" xfId="0" applyFill="1" applyBorder="1" applyAlignment="1">
      <alignment horizontal="center"/>
    </xf>
    <xf numFmtId="49" fontId="0" fillId="0" borderId="0" xfId="0" quotePrefix="1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quotePrefix="1" applyAlignment="1">
      <alignment horizontal="left"/>
    </xf>
    <xf numFmtId="0" fontId="0" fillId="0" borderId="17" xfId="0" applyBorder="1" applyAlignment="1" applyProtection="1">
      <alignment horizontal="center"/>
      <protection locked="0"/>
    </xf>
    <xf numFmtId="0" fontId="0" fillId="0" borderId="17" xfId="0" quotePrefix="1" applyBorder="1" applyAlignment="1" applyProtection="1">
      <alignment horizontal="center"/>
      <protection locked="0"/>
    </xf>
    <xf numFmtId="0" fontId="0" fillId="0" borderId="18" xfId="0" applyBorder="1" applyAlignment="1" applyProtection="1">
      <alignment horizontal="center"/>
      <protection locked="0"/>
    </xf>
    <xf numFmtId="0" fontId="0" fillId="2" borderId="14" xfId="0" quotePrefix="1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164" fontId="0" fillId="0" borderId="0" xfId="0" applyNumberFormat="1"/>
    <xf numFmtId="0" fontId="0" fillId="2" borderId="24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1" fontId="0" fillId="0" borderId="1" xfId="0" applyNumberFormat="1" applyBorder="1" applyAlignment="1" applyProtection="1">
      <alignment horizontal="center"/>
      <protection locked="0"/>
    </xf>
    <xf numFmtId="0" fontId="0" fillId="2" borderId="25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 wrapText="1"/>
    </xf>
    <xf numFmtId="0" fontId="2" fillId="3" borderId="12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22" xfId="0" applyFont="1" applyFill="1" applyBorder="1"/>
    <xf numFmtId="0" fontId="0" fillId="0" borderId="19" xfId="0" applyBorder="1" applyAlignment="1" applyProtection="1">
      <alignment horizontal="center"/>
      <protection locked="0"/>
    </xf>
    <xf numFmtId="0" fontId="0" fillId="0" borderId="23" xfId="0" applyBorder="1" applyProtection="1">
      <protection locked="0"/>
    </xf>
    <xf numFmtId="0" fontId="0" fillId="0" borderId="0" xfId="0" applyProtection="1">
      <protection locked="0"/>
    </xf>
    <xf numFmtId="0" fontId="0" fillId="2" borderId="0" xfId="0" applyFill="1"/>
    <xf numFmtId="0" fontId="0" fillId="0" borderId="3" xfId="0" applyBorder="1" applyProtection="1">
      <protection locked="0"/>
    </xf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0" fillId="2" borderId="2" xfId="0" applyFill="1" applyBorder="1"/>
    <xf numFmtId="0" fontId="1" fillId="2" borderId="0" xfId="0" applyFont="1" applyFill="1" applyAlignment="1">
      <alignment horizontal="right"/>
    </xf>
    <xf numFmtId="0" fontId="0" fillId="2" borderId="5" xfId="0" applyFill="1" applyBorder="1"/>
    <xf numFmtId="0" fontId="0" fillId="2" borderId="6" xfId="0" applyFill="1" applyBorder="1"/>
    <xf numFmtId="0" fontId="0" fillId="3" borderId="26" xfId="0" applyFill="1" applyBorder="1"/>
    <xf numFmtId="0" fontId="0" fillId="3" borderId="27" xfId="0" applyFill="1" applyBorder="1"/>
    <xf numFmtId="0" fontId="0" fillId="2" borderId="27" xfId="0" applyFill="1" applyBorder="1"/>
    <xf numFmtId="0" fontId="0" fillId="2" borderId="26" xfId="0" applyFill="1" applyBorder="1"/>
    <xf numFmtId="0" fontId="0" fillId="2" borderId="3" xfId="0" applyFill="1" applyBorder="1"/>
    <xf numFmtId="0" fontId="0" fillId="2" borderId="4" xfId="0" applyFill="1" applyBorder="1"/>
    <xf numFmtId="0" fontId="2" fillId="3" borderId="29" xfId="0" applyFont="1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0" fillId="2" borderId="31" xfId="0" quotePrefix="1" applyFill="1" applyBorder="1" applyAlignment="1">
      <alignment horizontal="center"/>
    </xf>
    <xf numFmtId="0" fontId="0" fillId="2" borderId="24" xfId="0" applyFill="1" applyBorder="1"/>
    <xf numFmtId="0" fontId="2" fillId="3" borderId="32" xfId="0" applyFont="1" applyFill="1" applyBorder="1" applyAlignment="1">
      <alignment horizontal="center" vertical="center" wrapText="1"/>
    </xf>
    <xf numFmtId="0" fontId="2" fillId="3" borderId="32" xfId="0" quotePrefix="1" applyFont="1" applyFill="1" applyBorder="1"/>
    <xf numFmtId="0" fontId="0" fillId="2" borderId="33" xfId="0" applyFill="1" applyBorder="1" applyAlignment="1">
      <alignment horizontal="center"/>
    </xf>
    <xf numFmtId="49" fontId="0" fillId="0" borderId="0" xfId="0" applyNumberFormat="1"/>
    <xf numFmtId="0" fontId="1" fillId="2" borderId="28" xfId="0" quotePrefix="1" applyFont="1" applyFill="1" applyBorder="1"/>
    <xf numFmtId="165" fontId="0" fillId="0" borderId="16" xfId="0" applyNumberFormat="1" applyBorder="1" applyAlignment="1">
      <alignment horizontal="center"/>
    </xf>
    <xf numFmtId="0" fontId="2" fillId="3" borderId="8" xfId="0" quotePrefix="1" applyFont="1" applyFill="1" applyBorder="1" applyAlignment="1">
      <alignment horizontal="center"/>
    </xf>
    <xf numFmtId="0" fontId="2" fillId="3" borderId="9" xfId="0" quotePrefix="1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7" xfId="0" quotePrefix="1" applyFont="1" applyFill="1" applyBorder="1" applyAlignment="1">
      <alignment horizontal="center"/>
    </xf>
    <xf numFmtId="0" fontId="0" fillId="2" borderId="0" xfId="0" applyFill="1" applyBorder="1"/>
    <xf numFmtId="0" fontId="1" fillId="2" borderId="27" xfId="0" quotePrefix="1" applyFont="1" applyFill="1" applyBorder="1"/>
    <xf numFmtId="0" fontId="1" fillId="2" borderId="1" xfId="0" applyFont="1" applyFill="1" applyBorder="1"/>
    <xf numFmtId="0" fontId="1" fillId="2" borderId="34" xfId="0" applyFont="1" applyFill="1" applyBorder="1"/>
  </cellXfs>
  <cellStyles count="1">
    <cellStyle name="Normal" xfId="0" builtinId="0"/>
  </cellStyles>
  <dxfs count="4"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263347</xdr:colOff>
          <xdr:row>9</xdr:row>
          <xdr:rowOff>7315</xdr:rowOff>
        </xdr:from>
        <xdr:to>
          <xdr:col>3</xdr:col>
          <xdr:colOff>2991917</xdr:colOff>
          <xdr:row>12</xdr:row>
          <xdr:rowOff>95098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892454</xdr:colOff>
          <xdr:row>9</xdr:row>
          <xdr:rowOff>7315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892454</xdr:colOff>
          <xdr:row>10</xdr:row>
          <xdr:rowOff>0</xdr:rowOff>
        </xdr:from>
        <xdr:to>
          <xdr:col>2</xdr:col>
          <xdr:colOff>0</xdr:colOff>
          <xdr:row>10</xdr:row>
          <xdr:rowOff>182880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B5284-6C0D-44CD-BC9E-E0B50ABA496D}">
  <sheetPr codeName="Sheet1"/>
  <dimension ref="B2:AH41"/>
  <sheetViews>
    <sheetView workbookViewId="0">
      <selection activeCell="C44" sqref="C44"/>
    </sheetView>
  </sheetViews>
  <sheetFormatPr defaultRowHeight="14.4" x14ac:dyDescent="0.3"/>
  <cols>
    <col min="2" max="2" width="17.3984375" customWidth="1"/>
    <col min="3" max="8" width="44.3984375" customWidth="1"/>
    <col min="12" max="12" width="32.796875" customWidth="1"/>
  </cols>
  <sheetData>
    <row r="2" spans="2:34" x14ac:dyDescent="0.3">
      <c r="B2" t="s">
        <v>3</v>
      </c>
      <c r="C2">
        <v>0</v>
      </c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  <c r="K2">
        <v>8</v>
      </c>
      <c r="L2">
        <v>9</v>
      </c>
      <c r="M2">
        <v>10</v>
      </c>
      <c r="N2">
        <v>11</v>
      </c>
      <c r="O2">
        <v>12</v>
      </c>
      <c r="P2">
        <v>13</v>
      </c>
      <c r="Q2">
        <v>14</v>
      </c>
      <c r="R2">
        <v>15</v>
      </c>
      <c r="S2">
        <v>16</v>
      </c>
      <c r="T2">
        <v>17</v>
      </c>
      <c r="U2">
        <v>18</v>
      </c>
      <c r="V2">
        <v>19</v>
      </c>
      <c r="W2">
        <v>20</v>
      </c>
      <c r="X2">
        <v>21</v>
      </c>
      <c r="Y2">
        <v>22</v>
      </c>
      <c r="Z2">
        <v>23</v>
      </c>
      <c r="AA2">
        <v>24</v>
      </c>
      <c r="AB2">
        <v>25</v>
      </c>
      <c r="AC2">
        <v>26</v>
      </c>
      <c r="AD2">
        <v>27</v>
      </c>
      <c r="AE2">
        <v>28</v>
      </c>
      <c r="AF2">
        <v>29</v>
      </c>
      <c r="AG2">
        <v>30</v>
      </c>
      <c r="AH2">
        <v>31</v>
      </c>
    </row>
    <row r="3" spans="2:34" x14ac:dyDescent="0.3">
      <c r="B3" t="s">
        <v>4</v>
      </c>
      <c r="C3" s="5" t="str">
        <f>RIGHT("00" &amp; DEC2HEX((_xlfn.BITOR(_xlfn.BITLSHIFT(C$2,3),1))),2)</f>
        <v>01</v>
      </c>
      <c r="D3" s="5" t="str">
        <f>RIGHT("00" &amp; DEC2HEX((_xlfn.BITOR(_xlfn.BITLSHIFT(D$2,3),1))),2)</f>
        <v>09</v>
      </c>
      <c r="E3" s="5" t="str">
        <f>RIGHT("00" &amp; DEC2HEX((_xlfn.BITOR(_xlfn.BITLSHIFT(E$2,3),1))),2)</f>
        <v>11</v>
      </c>
      <c r="F3" s="5" t="str">
        <f t="shared" ref="F3:AH3" si="0">RIGHT("00" &amp; DEC2HEX((_xlfn.BITOR(_xlfn.BITLSHIFT(F$2,3),1))),2)</f>
        <v>19</v>
      </c>
      <c r="G3" s="5" t="str">
        <f t="shared" si="0"/>
        <v>21</v>
      </c>
      <c r="H3" s="5" t="str">
        <f t="shared" si="0"/>
        <v>29</v>
      </c>
      <c r="I3" s="5" t="str">
        <f t="shared" si="0"/>
        <v>31</v>
      </c>
      <c r="J3" s="5" t="str">
        <f t="shared" si="0"/>
        <v>39</v>
      </c>
      <c r="K3" s="5" t="str">
        <f t="shared" si="0"/>
        <v>41</v>
      </c>
      <c r="L3" s="5" t="str">
        <f t="shared" si="0"/>
        <v>49</v>
      </c>
      <c r="M3" s="5" t="str">
        <f t="shared" si="0"/>
        <v>51</v>
      </c>
      <c r="N3" s="5" t="str">
        <f t="shared" si="0"/>
        <v>59</v>
      </c>
      <c r="O3" s="5" t="str">
        <f t="shared" si="0"/>
        <v>61</v>
      </c>
      <c r="P3" s="5" t="str">
        <f t="shared" si="0"/>
        <v>69</v>
      </c>
      <c r="Q3" s="5" t="str">
        <f t="shared" si="0"/>
        <v>71</v>
      </c>
      <c r="R3" s="5" t="str">
        <f t="shared" si="0"/>
        <v>79</v>
      </c>
      <c r="S3" s="5" t="str">
        <f t="shared" si="0"/>
        <v>81</v>
      </c>
      <c r="T3" s="5" t="str">
        <f t="shared" si="0"/>
        <v>89</v>
      </c>
      <c r="U3" s="5" t="str">
        <f t="shared" si="0"/>
        <v>91</v>
      </c>
      <c r="V3" s="5" t="str">
        <f t="shared" si="0"/>
        <v>99</v>
      </c>
      <c r="W3" s="5" t="str">
        <f t="shared" si="0"/>
        <v>A1</v>
      </c>
      <c r="X3" s="5" t="str">
        <f t="shared" si="0"/>
        <v>A9</v>
      </c>
      <c r="Y3" s="5" t="str">
        <f t="shared" si="0"/>
        <v>B1</v>
      </c>
      <c r="Z3" s="5" t="str">
        <f t="shared" si="0"/>
        <v>B9</v>
      </c>
      <c r="AA3" s="5" t="str">
        <f t="shared" si="0"/>
        <v>C1</v>
      </c>
      <c r="AB3" s="5" t="str">
        <f t="shared" si="0"/>
        <v>C9</v>
      </c>
      <c r="AC3" s="5" t="str">
        <f t="shared" si="0"/>
        <v>D1</v>
      </c>
      <c r="AD3" s="5" t="str">
        <f t="shared" si="0"/>
        <v>D9</v>
      </c>
      <c r="AE3" s="5" t="str">
        <f t="shared" si="0"/>
        <v>E1</v>
      </c>
      <c r="AF3" s="5" t="str">
        <f t="shared" si="0"/>
        <v>E9</v>
      </c>
      <c r="AG3" s="5" t="str">
        <f t="shared" si="0"/>
        <v>F1</v>
      </c>
      <c r="AH3" s="5" t="str">
        <f t="shared" si="0"/>
        <v>F9</v>
      </c>
    </row>
    <row r="4" spans="2:34" x14ac:dyDescent="0.3">
      <c r="B4" t="s">
        <v>2</v>
      </c>
      <c r="C4" s="4" cm="1">
        <f t="array" ref="C4">PQ2nits((2055+65*(_xlfn.BITRSHIFT(HEX2DEC(MID(C5,15,2)),3)))/(2055+31*65))</f>
        <v>96.892947435897241</v>
      </c>
      <c r="D4" s="4" cm="1">
        <f t="array" ref="D4">PQ2nits((2055+65*(_xlfn.BITRSHIFT(HEX2DEC(MID(D5,15,2)),3)))/(2055+31*65))</f>
        <v>113.54849272653058</v>
      </c>
      <c r="E4" s="4" cm="1">
        <f t="array" ref="E4">PQ2nits((2055+65*(_xlfn.BITRSHIFT(HEX2DEC(MID(E5,15,2)),3)))/(2055+31*65))</f>
        <v>132.85537796729577</v>
      </c>
      <c r="F4" s="4" cm="1">
        <f t="array" ref="F4">PQ2nits((2055+65*(_xlfn.BITRSHIFT(HEX2DEC(MID(F5,15,2)),3)))/(2055+31*65))</f>
        <v>155.21994460137429</v>
      </c>
      <c r="G4" s="4" cm="1">
        <f t="array" ref="G4">PQ2nits((2055+65*(_xlfn.BITRSHIFT(HEX2DEC(MID(G5,15,2)),3)))/(2055+31*65))</f>
        <v>181.11079810347903</v>
      </c>
      <c r="H4" s="4" cm="1">
        <f t="array" ref="H4">PQ2nits((2055+65*(_xlfn.BITRSHIFT(HEX2DEC(MID(H5,15,2)),3)))/(2055+31*65))</f>
        <v>211.06861673067306</v>
      </c>
      <c r="I4" s="4" cm="1">
        <f t="array" ref="I4">PQ2nits((2055+65*(_xlfn.BITRSHIFT(HEX2DEC(MID(I5,15,2)),3)))/(2055+31*65))</f>
        <v>245.71757619655023</v>
      </c>
      <c r="J4" s="4" cm="1">
        <f t="array" ref="J4">PQ2nits((2055+65*(_xlfn.BITRSHIFT(HEX2DEC(MID(J5,15,2)),3)))/(2055+31*65))</f>
        <v>285.77867132456396</v>
      </c>
      <c r="K4" s="4" cm="1">
        <f t="array" ref="K4">PQ2nits((2055+65*(_xlfn.BITRSHIFT(HEX2DEC(MID(K5,15,2)),3)))/(2055+31*65))</f>
        <v>332.08526759956629</v>
      </c>
      <c r="L4" s="4" cm="1">
        <f t="array" ref="L4">PQ2nits((2055+65*(_xlfn.BITRSHIFT(HEX2DEC(MID(L5,15,2)),3)))/(2055+31*65))</f>
        <v>385.60127757797198</v>
      </c>
      <c r="M4" s="4" cm="1">
        <f t="array" ref="M4">PQ2nits((2055+65*(_xlfn.BITRSHIFT(HEX2DEC(MID(M5,15,2)),3)))/(2055+31*65))</f>
        <v>447.44243145789636</v>
      </c>
      <c r="N4" s="4" cm="1">
        <f t="array" ref="N4">PQ2nits((2055+65*(_xlfn.BITRSHIFT(HEX2DEC(MID(N5,15,2)),3)))/(2055+31*65))</f>
        <v>518.90120035135783</v>
      </c>
      <c r="O4" s="4" cm="1">
        <f t="array" ref="O4">PQ2nits((2055+65*(_xlfn.BITRSHIFT(HEX2DEC(MID(O5,15,2)),3)))/(2055+31*65))</f>
        <v>601.47603811806903</v>
      </c>
      <c r="P4" s="4" cm="1">
        <f t="array" ref="P4">PQ2nits((2055+65*(_xlfn.BITRSHIFT(HEX2DEC(MID(P5,15,2)),3)))/(2055+31*65))</f>
        <v>696.90573691813393</v>
      </c>
      <c r="Q4" s="4" cm="1">
        <f t="array" ref="Q4">PQ2nits((2055+65*(_xlfn.BITRSHIFT(HEX2DEC(MID(Q5,15,2)),3)))/(2055+31*65))</f>
        <v>807.20984771936151</v>
      </c>
      <c r="R4" s="4" cm="1">
        <f t="array" ref="R4">PQ2nits((2055+65*(_xlfn.BITRSHIFT(HEX2DEC(MID(R5,15,2)),3)))/(2055+31*65))</f>
        <v>934.73630576927678</v>
      </c>
      <c r="S4" s="4" cm="1">
        <f t="array" ref="S4">PQ2nits((2055+65*(_xlfn.BITRSHIFT(HEX2DEC(MID(S5,15,2)),3)))/(2055+31*65))</f>
        <v>1082.2176298226216</v>
      </c>
      <c r="T4" s="4" cm="1">
        <f t="array" ref="T4">PQ2nits((2055+65*(_xlfn.BITRSHIFT(HEX2DEC(MID(T5,15,2)),3)))/(2055+31*65))</f>
        <v>1252.8373417551975</v>
      </c>
      <c r="U4" s="4" cm="1">
        <f t="array" ref="U4">PQ2nits((2055+65*(_xlfn.BITRSHIFT(HEX2DEC(MID(U5,15,2)),3)))/(2055+31*65))</f>
        <v>1450.3085913304442</v>
      </c>
      <c r="V4" s="4" cm="1">
        <f t="array" ref="V4">PQ2nits((2055+65*(_xlfn.BITRSHIFT(HEX2DEC(MID(V5,15,2)),3)))/(2055+31*65))</f>
        <v>1678.9673833059749</v>
      </c>
      <c r="W4" s="4" cm="1">
        <f t="array" ref="W4">PQ2nits((2055+65*(_xlfn.BITRSHIFT(HEX2DEC(MID(W5,15,2)),3)))/(2055+31*65))</f>
        <v>1943.8833082164776</v>
      </c>
      <c r="X4" s="4" cm="1">
        <f t="array" ref="X4">PQ2nits((2055+65*(_xlfn.BITRSHIFT(HEX2DEC(MID(X5,15,2)),3)))/(2055+31*65))</f>
        <v>2250.9912958813088</v>
      </c>
      <c r="Y4" s="4" cm="1">
        <f t="array" ref="Y4">PQ2nits((2055+65*(_xlfn.BITRSHIFT(HEX2DEC(MID(Y5,15,2)),3)))/(2055+31*65))</f>
        <v>2607.2486693335695</v>
      </c>
      <c r="Z4" s="4" cm="1">
        <f t="array" ref="Z4">PQ2nits((2055+65*(_xlfn.BITRSHIFT(HEX2DEC(MID(Z5,15,2)),3)))/(2055+31*65))</f>
        <v>3020.8227108925894</v>
      </c>
      <c r="AA4" s="4" cm="1">
        <f t="array" ref="AA4">PQ2nits((2055+65*(_xlfn.BITRSHIFT(HEX2DEC(MID(AA5,15,2)),3)))/(2055+31*65))</f>
        <v>3501.3151049329572</v>
      </c>
      <c r="AB4" s="4" cm="1">
        <f t="array" ref="AB4">PQ2nits((2055+65*(_xlfn.BITRSHIFT(HEX2DEC(MID(AB5,15,2)),3)))/(2055+31*65))</f>
        <v>4060.0310484963115</v>
      </c>
      <c r="AC4" s="4" cm="1">
        <f t="array" ref="AC4">PQ2nits((2055+65*(_xlfn.BITRSHIFT(HEX2DEC(MID(AC5,15,2)),3)))/(2055+31*65))</f>
        <v>4710.3025909539483</v>
      </c>
      <c r="AD4" s="4" cm="1">
        <f t="array" ref="AD4">PQ2nits((2055+65*(_xlfn.BITRSHIFT(HEX2DEC(MID(AD5,15,2)),3)))/(2055+31*65))</f>
        <v>5467.8779662038578</v>
      </c>
      <c r="AE4" s="4" cm="1">
        <f t="array" ref="AE4">PQ2nits((2055+65*(_xlfn.BITRSHIFT(HEX2DEC(MID(AE5,15,2)),3)))/(2055+31*65))</f>
        <v>6351.3914286654081</v>
      </c>
      <c r="AF4" s="4" cm="1">
        <f t="array" ref="AF4">PQ2nits((2055+65*(_xlfn.BITRSHIFT(HEX2DEC(MID(AF5,15,2)),3)))/(2055+31*65))</f>
        <v>7382.9315427440533</v>
      </c>
      <c r="AG4" s="4" cm="1">
        <f t="array" ref="AG4">PQ2nits((2055+65*(_xlfn.BITRSHIFT(HEX2DEC(MID(AG5,15,2)),3)))/(2055+31*65))</f>
        <v>8588.7301910478836</v>
      </c>
      <c r="AH4" s="4" cm="1">
        <f t="array" ref="AH4">PQ2nits((2055+65*(_xlfn.BITRSHIFT(HEX2DEC(MID(AH5,15,2)),3)))/(2055+31*65))</f>
        <v>10000</v>
      </c>
    </row>
    <row r="5" spans="2:34" x14ac:dyDescent="0.3">
      <c r="B5" s="1" t="s">
        <v>0</v>
      </c>
      <c r="C5" s="3" t="str">
        <f>_xlfn.CONCAT("EB0146D0004507",C$3,"5798A953")</f>
        <v>EB0146D0004507015798A953</v>
      </c>
      <c r="D5" s="3" t="str">
        <f>_xlfn.CONCAT("EB0146D0004507",D$3,"5798A953")</f>
        <v>EB0146D0004507095798A953</v>
      </c>
      <c r="E5" s="3" t="str">
        <f>_xlfn.CONCAT("EB0146D0004507",E$3,"5798A953")</f>
        <v>EB0146D0004507115798A953</v>
      </c>
      <c r="F5" s="3" t="str">
        <f t="shared" ref="F5:AH5" si="1">_xlfn.CONCAT("EB0146D0004507",F$3,"5798A953")</f>
        <v>EB0146D0004507195798A953</v>
      </c>
      <c r="G5" s="3" t="str">
        <f t="shared" si="1"/>
        <v>EB0146D0004507215798A953</v>
      </c>
      <c r="H5" s="3" t="str">
        <f t="shared" si="1"/>
        <v>EB0146D0004507295798A953</v>
      </c>
      <c r="I5" s="3" t="str">
        <f t="shared" si="1"/>
        <v>EB0146D0004507315798A953</v>
      </c>
      <c r="J5" s="3" t="str">
        <f t="shared" si="1"/>
        <v>EB0146D0004507395798A953</v>
      </c>
      <c r="K5" s="3" t="str">
        <f t="shared" si="1"/>
        <v>EB0146D0004507415798A953</v>
      </c>
      <c r="L5" s="3" t="str">
        <f t="shared" si="1"/>
        <v>EB0146D0004507495798A953</v>
      </c>
      <c r="M5" s="3" t="str">
        <f t="shared" si="1"/>
        <v>EB0146D0004507515798A953</v>
      </c>
      <c r="N5" s="3" t="str">
        <f t="shared" si="1"/>
        <v>EB0146D0004507595798A953</v>
      </c>
      <c r="O5" s="3" t="str">
        <f t="shared" si="1"/>
        <v>EB0146D0004507615798A953</v>
      </c>
      <c r="P5" s="3" t="str">
        <f t="shared" si="1"/>
        <v>EB0146D0004507695798A953</v>
      </c>
      <c r="Q5" s="3" t="str">
        <f t="shared" si="1"/>
        <v>EB0146D0004507715798A953</v>
      </c>
      <c r="R5" s="3" t="str">
        <f t="shared" si="1"/>
        <v>EB0146D0004507795798A953</v>
      </c>
      <c r="S5" s="3" t="str">
        <f t="shared" si="1"/>
        <v>EB0146D0004507815798A953</v>
      </c>
      <c r="T5" s="3" t="str">
        <f t="shared" si="1"/>
        <v>EB0146D0004507895798A953</v>
      </c>
      <c r="U5" s="3" t="str">
        <f t="shared" si="1"/>
        <v>EB0146D0004507915798A953</v>
      </c>
      <c r="V5" s="3" t="str">
        <f t="shared" si="1"/>
        <v>EB0146D0004507995798A953</v>
      </c>
      <c r="W5" s="3" t="str">
        <f t="shared" si="1"/>
        <v>EB0146D0004507A15798A953</v>
      </c>
      <c r="X5" s="3" t="str">
        <f t="shared" si="1"/>
        <v>EB0146D0004507A95798A953</v>
      </c>
      <c r="Y5" s="3" t="str">
        <f t="shared" si="1"/>
        <v>EB0146D0004507B15798A953</v>
      </c>
      <c r="Z5" s="3" t="str">
        <f t="shared" si="1"/>
        <v>EB0146D0004507B95798A953</v>
      </c>
      <c r="AA5" s="3" t="str">
        <f t="shared" si="1"/>
        <v>EB0146D0004507C15798A953</v>
      </c>
      <c r="AB5" s="3" t="str">
        <f t="shared" si="1"/>
        <v>EB0146D0004507C95798A953</v>
      </c>
      <c r="AC5" s="3" t="str">
        <f t="shared" si="1"/>
        <v>EB0146D0004507D15798A953</v>
      </c>
      <c r="AD5" s="3" t="str">
        <f t="shared" si="1"/>
        <v>EB0146D0004507D95798A953</v>
      </c>
      <c r="AE5" s="3" t="str">
        <f t="shared" si="1"/>
        <v>EB0146D0004507E15798A953</v>
      </c>
      <c r="AF5" s="3" t="str">
        <f t="shared" si="1"/>
        <v>EB0146D0004507E95798A953</v>
      </c>
      <c r="AG5" s="3" t="str">
        <f t="shared" si="1"/>
        <v>EB0146D0004507F15798A953</v>
      </c>
      <c r="AH5" s="3" t="str">
        <f t="shared" si="1"/>
        <v>EB0146D0004507F95798A953</v>
      </c>
    </row>
    <row r="6" spans="2:34" x14ac:dyDescent="0.3">
      <c r="B6" s="1" t="s">
        <v>1</v>
      </c>
      <c r="C6" s="3" t="str" cm="1">
        <f t="array" ref="C6">EDIDCheckSum(C5)</f>
        <v>A0</v>
      </c>
      <c r="D6" s="3" t="str" cm="1">
        <f t="array" ref="D6">EDIDCheckSum(D5)</f>
        <v>98</v>
      </c>
      <c r="E6" s="3" t="str" cm="1">
        <f t="array" ref="E6">EDIDCheckSum(E5)</f>
        <v>90</v>
      </c>
      <c r="F6" s="3" t="str" cm="1">
        <f t="array" ref="F6">EDIDCheckSum(F5)</f>
        <v>88</v>
      </c>
      <c r="G6" s="3" t="str" cm="1">
        <f t="array" ref="G6">EDIDCheckSum(G5)</f>
        <v>80</v>
      </c>
      <c r="H6" s="3" t="str" cm="1">
        <f t="array" ref="H6">EDIDCheckSum(H5)</f>
        <v>78</v>
      </c>
      <c r="I6" s="3" t="str" cm="1">
        <f t="array" ref="I6">EDIDCheckSum(I5)</f>
        <v>70</v>
      </c>
      <c r="J6" s="3" t="str" cm="1">
        <f t="array" ref="J6">EDIDCheckSum(J5)</f>
        <v>68</v>
      </c>
      <c r="K6" s="3" t="str" cm="1">
        <f t="array" ref="K6">EDIDCheckSum(K5)</f>
        <v>60</v>
      </c>
      <c r="L6" s="3" t="str" cm="1">
        <f t="array" ref="L6">EDIDCheckSum(L5)</f>
        <v>58</v>
      </c>
      <c r="M6" s="3" t="str" cm="1">
        <f t="array" ref="M6">EDIDCheckSum(M5)</f>
        <v>50</v>
      </c>
      <c r="N6" s="3" t="str" cm="1">
        <f t="array" ref="N6">EDIDCheckSum(N5)</f>
        <v>48</v>
      </c>
      <c r="O6" s="3" t="str" cm="1">
        <f t="array" ref="O6">EDIDCheckSum(O5)</f>
        <v>40</v>
      </c>
      <c r="P6" s="3" t="str" cm="1">
        <f t="array" ref="P6">EDIDCheckSum(P5)</f>
        <v>38</v>
      </c>
      <c r="Q6" s="3" t="str" cm="1">
        <f t="array" ref="Q6">EDIDCheckSum(Q5)</f>
        <v>30</v>
      </c>
      <c r="R6" s="3" t="str" cm="1">
        <f t="array" ref="R6">EDIDCheckSum(R5)</f>
        <v>28</v>
      </c>
      <c r="S6" s="3" t="str" cm="1">
        <f t="array" ref="S6">EDIDCheckSum(S5)</f>
        <v>20</v>
      </c>
      <c r="T6" s="3" t="str" cm="1">
        <f t="array" ref="T6">EDIDCheckSum(T5)</f>
        <v>18</v>
      </c>
      <c r="U6" s="3" t="str" cm="1">
        <f t="array" ref="U6">EDIDCheckSum(U5)</f>
        <v>10</v>
      </c>
      <c r="V6" s="3" t="str" cm="1">
        <f t="array" ref="V6">EDIDCheckSum(V5)</f>
        <v>08</v>
      </c>
      <c r="W6" s="3" t="str" cm="1">
        <f t="array" ref="W6">EDIDCheckSum(W5)</f>
        <v>00</v>
      </c>
      <c r="X6" s="3" t="str" cm="1">
        <f t="array" ref="X6">EDIDCheckSum(X5)</f>
        <v>F8</v>
      </c>
      <c r="Y6" s="3" t="str" cm="1">
        <f t="array" ref="Y6">EDIDCheckSum(Y5)</f>
        <v>F0</v>
      </c>
      <c r="Z6" s="3" t="str" cm="1">
        <f t="array" ref="Z6">EDIDCheckSum(Z5)</f>
        <v>E8</v>
      </c>
      <c r="AA6" s="3" t="str" cm="1">
        <f t="array" ref="AA6">EDIDCheckSum(AA5)</f>
        <v>E0</v>
      </c>
      <c r="AB6" s="3" t="str" cm="1">
        <f t="array" ref="AB6">EDIDCheckSum(AB5)</f>
        <v>D8</v>
      </c>
      <c r="AC6" s="3" t="str" cm="1">
        <f t="array" ref="AC6">EDIDCheckSum(AC5)</f>
        <v>D0</v>
      </c>
      <c r="AD6" s="3" t="str" cm="1">
        <f t="array" ref="AD6">EDIDCheckSum(AD5)</f>
        <v>C8</v>
      </c>
      <c r="AE6" s="3" t="str" cm="1">
        <f t="array" ref="AE6">EDIDCheckSum(AE5)</f>
        <v>C0</v>
      </c>
      <c r="AF6" s="3" t="str" cm="1">
        <f t="array" ref="AF6">EDIDCheckSum(AF5)</f>
        <v>B8</v>
      </c>
      <c r="AG6" s="3" t="str" cm="1">
        <f t="array" ref="AG6">EDIDCheckSum(AG5)</f>
        <v>B0</v>
      </c>
      <c r="AH6" s="3" t="str" cm="1">
        <f t="array" ref="AH6">EDIDCheckSum(AH5)</f>
        <v>A8</v>
      </c>
    </row>
    <row r="7" spans="2:34" x14ac:dyDescent="0.3">
      <c r="B7" s="2" t="s">
        <v>5</v>
      </c>
      <c r="C7" s="1" t="str">
        <f>_xlfn.CONCAT(":1074A000060501",C$5,"8C",IntelHexChecksum(_xlfn.CONCAT("1074A000060501",C$5,"8C")))</f>
        <v>:1074A000060501EB0146D0004507015798A9538C0A</v>
      </c>
      <c r="D7" s="1" t="str">
        <f t="shared" ref="D7:AH7" si="2">_xlfn.CONCAT(":1074A000060501",D$5,"8C",IntelHexChecksum(_xlfn.CONCAT("1074A000060501",D$5,"8C")))</f>
        <v>:1074A000060501EB0146D0004507095798A9538C02</v>
      </c>
      <c r="E7" s="1" t="str">
        <f t="shared" si="2"/>
        <v>:1074A000060501EB0146D0004507115798A9538CFA</v>
      </c>
      <c r="F7" s="1" t="str">
        <f t="shared" si="2"/>
        <v>:1074A000060501EB0146D0004507195798A9538CF2</v>
      </c>
      <c r="G7" s="1" t="str">
        <f t="shared" si="2"/>
        <v>:1074A000060501EB0146D0004507215798A9538CEA</v>
      </c>
      <c r="H7" s="1" t="str">
        <f t="shared" si="2"/>
        <v>:1074A000060501EB0146D0004507295798A9538CE2</v>
      </c>
      <c r="I7" s="1" t="str">
        <f t="shared" si="2"/>
        <v>:1074A000060501EB0146D0004507315798A9538CDA</v>
      </c>
      <c r="J7" s="1" t="str">
        <f t="shared" si="2"/>
        <v>:1074A000060501EB0146D0004507395798A9538CD2</v>
      </c>
      <c r="K7" s="1" t="str">
        <f t="shared" si="2"/>
        <v>:1074A000060501EB0146D0004507415798A9538CCA</v>
      </c>
      <c r="L7" s="1" t="str">
        <f t="shared" si="2"/>
        <v>:1074A000060501EB0146D0004507495798A9538CC2</v>
      </c>
      <c r="M7" s="1" t="str">
        <f t="shared" si="2"/>
        <v>:1074A000060501EB0146D0004507515798A9538CBA</v>
      </c>
      <c r="N7" s="1" t="str">
        <f t="shared" si="2"/>
        <v>:1074A000060501EB0146D0004507595798A9538CB2</v>
      </c>
      <c r="O7" s="1" t="str">
        <f t="shared" si="2"/>
        <v>:1074A000060501EB0146D0004507615798A9538CAA</v>
      </c>
      <c r="P7" s="1" t="str">
        <f t="shared" si="2"/>
        <v>:1074A000060501EB0146D0004507695798A9538CA2</v>
      </c>
      <c r="Q7" s="1" t="str">
        <f t="shared" si="2"/>
        <v>:1074A000060501EB0146D0004507715798A9538C9A</v>
      </c>
      <c r="R7" s="1" t="str">
        <f t="shared" si="2"/>
        <v>:1074A000060501EB0146D0004507795798A9538C92</v>
      </c>
      <c r="S7" s="1" t="str">
        <f t="shared" si="2"/>
        <v>:1074A000060501EB0146D0004507815798A9538C8A</v>
      </c>
      <c r="T7" s="1" t="str">
        <f t="shared" si="2"/>
        <v>:1074A000060501EB0146D0004507895798A9538C82</v>
      </c>
      <c r="U7" s="1" t="str">
        <f t="shared" si="2"/>
        <v>:1074A000060501EB0146D0004507915798A9538C7A</v>
      </c>
      <c r="V7" s="1" t="str">
        <f t="shared" si="2"/>
        <v>:1074A000060501EB0146D0004507995798A9538C72</v>
      </c>
      <c r="W7" s="1" t="str">
        <f t="shared" si="2"/>
        <v>:1074A000060501EB0146D0004507A15798A9538C6A</v>
      </c>
      <c r="X7" s="1" t="str">
        <f t="shared" si="2"/>
        <v>:1074A000060501EB0146D0004507A95798A9538C62</v>
      </c>
      <c r="Y7" s="1" t="str">
        <f t="shared" si="2"/>
        <v>:1074A000060501EB0146D0004507B15798A9538C5A</v>
      </c>
      <c r="Z7" s="1" t="str">
        <f t="shared" si="2"/>
        <v>:1074A000060501EB0146D0004507B95798A9538C52</v>
      </c>
      <c r="AA7" s="1" t="str">
        <f t="shared" si="2"/>
        <v>:1074A000060501EB0146D0004507C15798A9538C4A</v>
      </c>
      <c r="AB7" s="1" t="str">
        <f t="shared" si="2"/>
        <v>:1074A000060501EB0146D0004507C95798A9538C42</v>
      </c>
      <c r="AC7" s="1" t="str">
        <f t="shared" si="2"/>
        <v>:1074A000060501EB0146D0004507D15798A9538C3A</v>
      </c>
      <c r="AD7" s="1" t="str">
        <f t="shared" si="2"/>
        <v>:1074A000060501EB0146D0004507D95798A9538C32</v>
      </c>
      <c r="AE7" s="1" t="str">
        <f t="shared" si="2"/>
        <v>:1074A000060501EB0146D0004507E15798A9538C2A</v>
      </c>
      <c r="AF7" s="1" t="str">
        <f t="shared" si="2"/>
        <v>:1074A000060501EB0146D0004507E95798A9538C22</v>
      </c>
      <c r="AG7" s="1" t="str">
        <f t="shared" si="2"/>
        <v>:1074A000060501EB0146D0004507F15798A9538C1A</v>
      </c>
      <c r="AH7" s="1" t="str">
        <f t="shared" si="2"/>
        <v>:1074A000060501EB0146D0004507F95798A9538C12</v>
      </c>
    </row>
    <row r="9" spans="2:34" x14ac:dyDescent="0.3">
      <c r="C9" s="1"/>
      <c r="D9" s="1"/>
      <c r="E9" s="1"/>
    </row>
    <row r="10" spans="2:34" x14ac:dyDescent="0.3">
      <c r="C10" s="4"/>
    </row>
    <row r="11" spans="2:34" x14ac:dyDescent="0.3">
      <c r="C11" s="4"/>
    </row>
    <row r="12" spans="2:34" x14ac:dyDescent="0.3">
      <c r="C12" s="4"/>
    </row>
    <row r="13" spans="2:34" x14ac:dyDescent="0.3">
      <c r="C13" s="4"/>
    </row>
    <row r="14" spans="2:34" x14ac:dyDescent="0.3">
      <c r="C14" s="4"/>
    </row>
    <row r="15" spans="2:34" x14ac:dyDescent="0.3">
      <c r="C15" s="4"/>
    </row>
    <row r="16" spans="2:34" x14ac:dyDescent="0.3">
      <c r="C16" s="4"/>
    </row>
    <row r="17" spans="3:3" x14ac:dyDescent="0.3">
      <c r="C17" s="4"/>
    </row>
    <row r="18" spans="3:3" x14ac:dyDescent="0.3">
      <c r="C18" s="4"/>
    </row>
    <row r="19" spans="3:3" x14ac:dyDescent="0.3">
      <c r="C19" s="4"/>
    </row>
    <row r="20" spans="3:3" x14ac:dyDescent="0.3">
      <c r="C20" s="4"/>
    </row>
    <row r="21" spans="3:3" x14ac:dyDescent="0.3">
      <c r="C21" s="4"/>
    </row>
    <row r="22" spans="3:3" x14ac:dyDescent="0.3">
      <c r="C22" s="4"/>
    </row>
    <row r="23" spans="3:3" x14ac:dyDescent="0.3">
      <c r="C23" s="4"/>
    </row>
    <row r="24" spans="3:3" x14ac:dyDescent="0.3">
      <c r="C24" s="4"/>
    </row>
    <row r="25" spans="3:3" x14ac:dyDescent="0.3">
      <c r="C25" s="4"/>
    </row>
    <row r="26" spans="3:3" x14ac:dyDescent="0.3">
      <c r="C26" s="4"/>
    </row>
    <row r="27" spans="3:3" x14ac:dyDescent="0.3">
      <c r="C27" s="4"/>
    </row>
    <row r="28" spans="3:3" x14ac:dyDescent="0.3">
      <c r="C28" s="4"/>
    </row>
    <row r="29" spans="3:3" x14ac:dyDescent="0.3">
      <c r="C29" s="4"/>
    </row>
    <row r="30" spans="3:3" x14ac:dyDescent="0.3">
      <c r="C30" s="4"/>
    </row>
    <row r="31" spans="3:3" x14ac:dyDescent="0.3">
      <c r="C31" s="4"/>
    </row>
    <row r="32" spans="3:3" x14ac:dyDescent="0.3">
      <c r="C32" s="4"/>
    </row>
    <row r="33" spans="3:3" x14ac:dyDescent="0.3">
      <c r="C33" s="4"/>
    </row>
    <row r="34" spans="3:3" x14ac:dyDescent="0.3">
      <c r="C34" s="4"/>
    </row>
    <row r="35" spans="3:3" x14ac:dyDescent="0.3">
      <c r="C35" s="4"/>
    </row>
    <row r="36" spans="3:3" x14ac:dyDescent="0.3">
      <c r="C36" s="4"/>
    </row>
    <row r="37" spans="3:3" x14ac:dyDescent="0.3">
      <c r="C37" s="4"/>
    </row>
    <row r="38" spans="3:3" x14ac:dyDescent="0.3">
      <c r="C38" s="4"/>
    </row>
    <row r="39" spans="3:3" x14ac:dyDescent="0.3">
      <c r="C39" s="4"/>
    </row>
    <row r="40" spans="3:3" x14ac:dyDescent="0.3">
      <c r="C40" s="4"/>
    </row>
    <row r="41" spans="3:3" x14ac:dyDescent="0.3">
      <c r="C41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eTheFWs">
                <anchor moveWithCells="1" sizeWithCells="1">
                  <from>
                    <xdr:col>3</xdr:col>
                    <xdr:colOff>263347</xdr:colOff>
                    <xdr:row>9</xdr:row>
                    <xdr:rowOff>7315</xdr:rowOff>
                  </from>
                  <to>
                    <xdr:col>3</xdr:col>
                    <xdr:colOff>2991917</xdr:colOff>
                    <xdr:row>12</xdr:row>
                    <xdr:rowOff>95098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4ED48-9DD9-469A-B29F-B834345FCD31}">
  <sheetPr codeName="Sheet6"/>
  <dimension ref="B2:BB48"/>
  <sheetViews>
    <sheetView tabSelected="1" workbookViewId="0">
      <selection activeCell="C15" sqref="C15"/>
    </sheetView>
  </sheetViews>
  <sheetFormatPr defaultRowHeight="14.4" x14ac:dyDescent="0.3"/>
  <cols>
    <col min="2" max="2" width="15.59765625" customWidth="1"/>
    <col min="5" max="5" width="12.296875" customWidth="1"/>
    <col min="8" max="8" width="12.8984375" customWidth="1"/>
    <col min="14" max="14" width="14.59765625" customWidth="1"/>
    <col min="16" max="16" width="13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</row>
    <row r="4" spans="2:54" ht="15" thickBot="1" x14ac:dyDescent="0.35">
      <c r="AO4" t="s">
        <v>25</v>
      </c>
      <c r="AP4" t="s">
        <v>67</v>
      </c>
      <c r="AQ4" t="s">
        <v>68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6" t="s">
        <v>65</v>
      </c>
      <c r="C5" s="63" t="str">
        <f>DEC2HEX(_xlfn.BITLSHIFT(BIN2DEC(C8),5)+_xlfn.BITLSHIFT(BIN2DEC(D8),2)+_xlfn.BITLSHIFT(BIN2DEC(E8),1)+BIN2DEC(F8))</f>
        <v>47</v>
      </c>
      <c r="D5" s="63"/>
      <c r="E5" s="63"/>
      <c r="F5" s="64"/>
      <c r="G5" s="65" t="str">
        <f>DEC2HEX(_xlfn.BITLSHIFT(BIN2DEC(G8),3)+_xlfn.BITLSHIFT(BIN2DEC(H8),2)+BIN2DEC(I8),2)</f>
        <v>03</v>
      </c>
      <c r="H5" s="61"/>
      <c r="I5" s="62"/>
      <c r="J5" s="65" t="str">
        <f>DEC2HEX(_xlfn.BITLSHIFT(BIN2DEC(J8),3)+_xlfn.BITLSHIFT(BIN2DEC(K8),1)+BIN2DEC(L8),2)</f>
        <v>48</v>
      </c>
      <c r="K5" s="61"/>
      <c r="L5" s="62"/>
      <c r="M5" s="61" t="str">
        <f>BIN2HEX(_xlfn.CONCAT(M8,N8),2)</f>
        <v>57</v>
      </c>
      <c r="N5" s="62"/>
      <c r="O5" s="61" t="str">
        <f>BIN2HEX(_xlfn.CONCAT(O8,P8),2)</f>
        <v>98</v>
      </c>
      <c r="P5" s="62"/>
      <c r="Q5" s="61" t="str">
        <f>BIN2HEX(_xlfn.CONCAT(Q8,R8),2)</f>
        <v>A9</v>
      </c>
      <c r="R5" s="62"/>
      <c r="S5" s="61" t="str">
        <f>BIN2HEX(_xlfn.CONCAT(S8,T8),2)</f>
        <v>53</v>
      </c>
      <c r="T5" s="62"/>
      <c r="AN5" s="4">
        <f t="shared" ref="AN5:AN14" si="0"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7" customHeight="1" x14ac:dyDescent="0.3">
      <c r="B6" s="55" t="s">
        <v>66</v>
      </c>
      <c r="C6" s="51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AN6" s="4">
        <f t="shared" si="0"/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4"/>
      <c r="C7" s="52">
        <v>2</v>
      </c>
      <c r="D7" s="9" t="s">
        <v>20</v>
      </c>
      <c r="E7" s="13" t="s">
        <v>18</v>
      </c>
      <c r="F7" s="13" t="s">
        <v>18</v>
      </c>
      <c r="G7" s="60">
        <v>0</v>
      </c>
      <c r="H7" s="13" t="s">
        <v>19</v>
      </c>
      <c r="I7" s="14" t="s">
        <v>27</v>
      </c>
      <c r="J7" s="24">
        <v>385</v>
      </c>
      <c r="K7" s="25">
        <v>0</v>
      </c>
      <c r="L7" s="15" t="s">
        <v>35</v>
      </c>
      <c r="M7" s="9">
        <f>INDEX(AX16:AX18,MATCH(I3,AU16:AU18,0))</f>
        <v>0.17</v>
      </c>
      <c r="N7" s="33" t="s">
        <v>18</v>
      </c>
      <c r="O7" s="22">
        <f>INDEX(AY16:AY18,MATCH($I$3,$AU$16:$AU$18,0))</f>
        <v>0.79700000000000004</v>
      </c>
      <c r="P7" s="33" t="s">
        <v>19</v>
      </c>
      <c r="Q7" s="22">
        <f>INDEX(AV16:AV18,MATCH($I$3,$AU$16:$AU$18,0))</f>
        <v>0.70799999999999996</v>
      </c>
      <c r="R7" s="23">
        <f>INDEX(AZ16:AZ18,MATCH($I$3,$AU$16:$AU$18,0))</f>
        <v>0.13100000000000001</v>
      </c>
      <c r="S7" s="9">
        <f>INDEX(AW16:AW18,MATCH($I$3,$AU$16:$AU$18,0))</f>
        <v>0.29199999999999998</v>
      </c>
      <c r="T7" s="23">
        <f>INDEX(BA16:BA18,MATCH($I$3,$AU$16:$AU$18,0))</f>
        <v>4.5999999999999999E-2</v>
      </c>
      <c r="AN7" s="4">
        <f t="shared" si="0"/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7"/>
      <c r="C8" s="53" t="s">
        <v>15</v>
      </c>
      <c r="D8" s="16" t="s">
        <v>16</v>
      </c>
      <c r="E8" s="17">
        <f>IF(EXACT(E7,"Supported"),1,0)</f>
        <v>1</v>
      </c>
      <c r="F8" s="17">
        <f>IF(EXACT(F7,"Supported"),1,0)</f>
        <v>1</v>
      </c>
      <c r="G8" s="19" t="str">
        <f>DEC2BIN(_xlfn.XLOOKUP(G7,AQ5:AQ37,AO5:AO37),5)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DEC2BIN(VLOOKUP(J7,AN5:AO37,2),5)</f>
        <v>01001</v>
      </c>
      <c r="K8" s="17">
        <v>0</v>
      </c>
      <c r="L8" s="18" t="str">
        <f>VLOOKUP(L7,AU5:AV8,2)</f>
        <v>00</v>
      </c>
      <c r="M8" s="26" t="str">
        <f>DEC2BIN(M7/( 0.49609375/127),7)</f>
        <v>0101011</v>
      </c>
      <c r="N8" s="20">
        <f>IF(AND(EXACT(N7,"Supported"),EXACT(P7,"Not Supported")),1,0)</f>
        <v>1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AK8"/>
      <c r="AL8"/>
      <c r="AM8"/>
      <c r="AN8" s="4">
        <f t="shared" si="0"/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AN9" s="4">
        <f t="shared" si="0"/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5" t="s">
        <v>63</v>
      </c>
      <c r="C10" s="37" t="s">
        <v>71</v>
      </c>
      <c r="D10" s="38"/>
      <c r="E10" s="38"/>
      <c r="F10" s="38"/>
      <c r="G10" s="38"/>
      <c r="H10" s="38"/>
      <c r="I10" s="38"/>
      <c r="J10" s="39"/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6" t="s">
        <v>64</v>
      </c>
      <c r="C11" s="35" t="s">
        <v>72</v>
      </c>
      <c r="J11" s="40"/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48" t="s">
        <v>0</v>
      </c>
      <c r="C12" s="49" t="str">
        <f>_xlfn.CONCAT(B5:T5)</f>
        <v>EB0146D0004703485798A953</v>
      </c>
      <c r="D12" s="49"/>
      <c r="E12" s="49"/>
      <c r="F12" s="49"/>
      <c r="G12" s="49"/>
      <c r="H12" s="49"/>
      <c r="I12" s="49"/>
      <c r="J12" s="50"/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7" t="s">
        <v>62</v>
      </c>
      <c r="C13" s="42" t="str" cm="1">
        <f t="array" ref="C13">EDIDCheckSum(C12)</f>
        <v>5B</v>
      </c>
      <c r="D13" s="36"/>
      <c r="E13" s="36"/>
      <c r="F13" s="36"/>
      <c r="G13" s="36"/>
      <c r="H13" s="36"/>
      <c r="I13" s="36"/>
      <c r="J13" s="41"/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67" t="s">
        <v>69</v>
      </c>
      <c r="C14" s="68" t="str">
        <f>_xlfn.CONCAT(":100F000003E3060501", LEFT($C$12,22), "",IntelHexChecksum(_xlfn.CONCAT("100F000003E3060501", LEFT($C$12,22), "")))</f>
        <v>:100F000003E3060501EB0146D0004703485798A9C3</v>
      </c>
      <c r="D14" s="66"/>
      <c r="E14" s="66"/>
      <c r="F14" s="66"/>
      <c r="G14" s="66"/>
      <c r="H14" s="66"/>
      <c r="I14" s="66"/>
      <c r="J14" s="41"/>
      <c r="AN14" s="4">
        <f t="shared" si="0"/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ht="15" thickBot="1" x14ac:dyDescent="0.35">
      <c r="B15" s="59" t="s">
        <v>70</v>
      </c>
      <c r="C15" s="69" t="str">
        <f>_xlfn.CONCAT(":100F1000", RIGHT($C$12,2), "8C0AD08A20E02D10103E9600C48E21",IntelHexChecksum(_xlfn.CONCAT("100F1000", RIGHT($C$12,2), "8C0AD08A20E02D10103E9600C48E21")))</f>
        <v>:100F1000538C0AD08A20E02D10103E9600C48E21FA</v>
      </c>
      <c r="D15" s="43"/>
      <c r="E15" s="43"/>
      <c r="F15" s="43"/>
      <c r="G15" s="43"/>
      <c r="H15" s="43"/>
      <c r="I15" s="43"/>
      <c r="J15" s="44"/>
      <c r="AN15" s="4">
        <f t="shared" ref="AN15" si="1">INT(AP15)</f>
        <v>385</v>
      </c>
      <c r="AO15">
        <v>9</v>
      </c>
      <c r="AP15" s="4" cm="1">
        <f t="array" ref="AP15">PQ2nits((2055+65*AO15)/(2055+31*65))</f>
        <v>385.60127757797198</v>
      </c>
      <c r="AQ15" cm="1">
        <f t="array" ref="AQ15">ROUND(PQ2nits((20*$AO15)/(2055+31*65)),3)</f>
        <v>4.5999999999999999E-2</v>
      </c>
      <c r="AU15" t="s">
        <v>41</v>
      </c>
      <c r="AV15" t="s">
        <v>45</v>
      </c>
      <c r="AW15" t="s">
        <v>46</v>
      </c>
      <c r="AX15" t="s">
        <v>47</v>
      </c>
      <c r="AY15" t="s">
        <v>48</v>
      </c>
      <c r="AZ15" t="s">
        <v>49</v>
      </c>
      <c r="BA15" t="s">
        <v>50</v>
      </c>
      <c r="BB15" t="s">
        <v>54</v>
      </c>
    </row>
    <row r="16" spans="2:54" x14ac:dyDescent="0.3">
      <c r="C16" s="1"/>
      <c r="AN16" s="4">
        <f t="shared" ref="AN16:AN37" si="2">INT(AP16)</f>
        <v>447</v>
      </c>
      <c r="AO16">
        <v>10</v>
      </c>
      <c r="AP16" s="4" cm="1">
        <f t="array" ref="AP16">PQ2nits((2055+65*AO16)/(2055+31*65))</f>
        <v>447.44243145789636</v>
      </c>
      <c r="AQ16" cm="1">
        <f t="array" ref="AQ16">ROUND(PQ2nits((20*$AO16)/(2055+31*65)),3)</f>
        <v>5.8000000000000003E-2</v>
      </c>
      <c r="AU16" s="6" t="s">
        <v>42</v>
      </c>
      <c r="AV16" s="21">
        <v>0.64</v>
      </c>
      <c r="AW16" s="21">
        <v>0.33</v>
      </c>
      <c r="AX16" s="21">
        <v>0.3</v>
      </c>
      <c r="AY16" s="21">
        <v>0.6</v>
      </c>
      <c r="AZ16" s="21">
        <v>0.15</v>
      </c>
      <c r="BA16" s="21">
        <v>0.06</v>
      </c>
      <c r="BB16" t="s">
        <v>53</v>
      </c>
    </row>
    <row r="17" spans="40:54" x14ac:dyDescent="0.3">
      <c r="AN17" s="4">
        <f t="shared" si="2"/>
        <v>518</v>
      </c>
      <c r="AO17">
        <v>11</v>
      </c>
      <c r="AP17" s="4" cm="1">
        <f t="array" ref="AP17">PQ2nits((2055+65*AO17)/(2055+31*65))</f>
        <v>518.90120035135783</v>
      </c>
      <c r="AQ17" cm="1">
        <f t="array" ref="AQ17">ROUND(PQ2nits((20*$AO17)/(2055+31*65)),3)</f>
        <v>7.1999999999999995E-2</v>
      </c>
      <c r="AU17" s="6" t="s">
        <v>43</v>
      </c>
      <c r="AV17" s="21">
        <v>0.70799999999999996</v>
      </c>
      <c r="AW17" s="21">
        <v>0.29199999999999998</v>
      </c>
      <c r="AX17" s="21">
        <v>0.17</v>
      </c>
      <c r="AY17" s="21">
        <v>0.79700000000000004</v>
      </c>
      <c r="AZ17" s="21">
        <v>0.13100000000000001</v>
      </c>
      <c r="BA17" s="21">
        <v>4.5999999999999999E-2</v>
      </c>
      <c r="BB17" t="s">
        <v>51</v>
      </c>
    </row>
    <row r="18" spans="40:54" x14ac:dyDescent="0.3">
      <c r="AN18" s="4">
        <f t="shared" si="2"/>
        <v>601</v>
      </c>
      <c r="AO18">
        <v>12</v>
      </c>
      <c r="AP18" s="4" cm="1">
        <f t="array" ref="AP18">PQ2nits((2055+65*AO18)/(2055+31*65))</f>
        <v>601.47603811806903</v>
      </c>
      <c r="AQ18" cm="1">
        <f t="array" ref="AQ18">ROUND(PQ2nits((20*$AO18)/(2055+31*65)),3)</f>
        <v>8.7999999999999995E-2</v>
      </c>
      <c r="AU18" s="6" t="s">
        <v>44</v>
      </c>
      <c r="AV18" s="21">
        <v>0.68</v>
      </c>
      <c r="AW18" s="21">
        <v>0.32</v>
      </c>
      <c r="AX18" s="21">
        <v>0.26500000000000001</v>
      </c>
      <c r="AY18" s="21">
        <v>0.69</v>
      </c>
      <c r="AZ18" s="21">
        <v>0.15</v>
      </c>
      <c r="BA18" s="21">
        <v>0.06</v>
      </c>
      <c r="BB18" t="s">
        <v>52</v>
      </c>
    </row>
    <row r="19" spans="40:54" x14ac:dyDescent="0.3">
      <c r="AN19" s="4">
        <f t="shared" si="2"/>
        <v>696</v>
      </c>
      <c r="AO19">
        <v>13</v>
      </c>
      <c r="AP19" s="4" cm="1">
        <f t="array" ref="AP19">PQ2nits((2055+65*AO19)/(2055+31*65))</f>
        <v>696.90573691813393</v>
      </c>
      <c r="AQ19" cm="1">
        <f t="array" ref="AQ19">ROUND(PQ2nits((20*$AO19)/(2055+31*65)),3)</f>
        <v>0.106</v>
      </c>
    </row>
    <row r="20" spans="40:54" x14ac:dyDescent="0.3">
      <c r="AN20" s="4">
        <f t="shared" si="2"/>
        <v>807</v>
      </c>
      <c r="AO20">
        <v>14</v>
      </c>
      <c r="AP20" s="4" cm="1">
        <f t="array" ref="AP20">PQ2nits((2055+65*AO20)/(2055+31*65))</f>
        <v>807.20984771936151</v>
      </c>
      <c r="AQ20" cm="1">
        <f t="array" ref="AQ20">ROUND(PQ2nits((20*$AO20)/(2055+31*65)),3)</f>
        <v>0.127</v>
      </c>
    </row>
    <row r="21" spans="40:54" x14ac:dyDescent="0.3">
      <c r="AN21" s="4">
        <f t="shared" si="2"/>
        <v>934</v>
      </c>
      <c r="AO21">
        <v>15</v>
      </c>
      <c r="AP21" s="4" cm="1">
        <f t="array" ref="AP21">PQ2nits((2055+65*AO21)/(2055+31*65))</f>
        <v>934.73630576927678</v>
      </c>
      <c r="AQ21" cm="1">
        <f t="array" ref="AQ21">ROUND(PQ2nits((20*$AO21)/(2055+31*65)),3)</f>
        <v>0.15</v>
      </c>
    </row>
    <row r="22" spans="40:54" x14ac:dyDescent="0.3">
      <c r="AN22" s="4">
        <f t="shared" si="2"/>
        <v>1082</v>
      </c>
      <c r="AO22">
        <v>16</v>
      </c>
      <c r="AP22" s="4" cm="1">
        <f t="array" ref="AP22">PQ2nits((2055+65*AO22)/(2055+31*65))</f>
        <v>1082.2176298226216</v>
      </c>
      <c r="AQ22" cm="1">
        <f t="array" ref="AQ22">ROUND(PQ2nits((20*$AO22)/(2055+31*65)),3)</f>
        <v>0.17599999999999999</v>
      </c>
    </row>
    <row r="23" spans="40:54" x14ac:dyDescent="0.3">
      <c r="AN23" s="4">
        <f t="shared" si="2"/>
        <v>1252</v>
      </c>
      <c r="AO23">
        <v>17</v>
      </c>
      <c r="AP23" s="4" cm="1">
        <f t="array" ref="AP23">PQ2nits((2055+65*AO23)/(2055+31*65))</f>
        <v>1252.8373417551975</v>
      </c>
      <c r="AQ23" cm="1">
        <f t="array" ref="AQ23">ROUND(PQ2nits((20*$AO23)/(2055+31*65)),3)</f>
        <v>0.20399999999999999</v>
      </c>
    </row>
    <row r="24" spans="40:54" x14ac:dyDescent="0.3">
      <c r="AN24" s="4">
        <f t="shared" si="2"/>
        <v>1450</v>
      </c>
      <c r="AO24">
        <v>18</v>
      </c>
      <c r="AP24" s="4" cm="1">
        <f t="array" ref="AP24">PQ2nits((2055+65*AO24)/(2055+31*65))</f>
        <v>1450.3085913304442</v>
      </c>
      <c r="AQ24" cm="1">
        <f t="array" ref="AQ24">ROUND(PQ2nits((20*$AO24)/(2055+31*65)),3)</f>
        <v>0.23599999999999999</v>
      </c>
    </row>
    <row r="25" spans="40:54" x14ac:dyDescent="0.3">
      <c r="AN25" s="4">
        <f t="shared" si="2"/>
        <v>1678</v>
      </c>
      <c r="AO25">
        <v>19</v>
      </c>
      <c r="AP25" s="4" cm="1">
        <f t="array" ref="AP25">PQ2nits((2055+65*AO25)/(2055+31*65))</f>
        <v>1678.9673833059749</v>
      </c>
      <c r="AQ25" cm="1">
        <f t="array" ref="AQ25">ROUND(PQ2nits((20*$AO25)/(2055+31*65)),3)</f>
        <v>0.27100000000000002</v>
      </c>
    </row>
    <row r="26" spans="40:54" x14ac:dyDescent="0.3">
      <c r="AN26" s="4">
        <f t="shared" si="2"/>
        <v>1943</v>
      </c>
      <c r="AO26">
        <v>20</v>
      </c>
      <c r="AP26" s="4" cm="1">
        <f t="array" ref="AP26">PQ2nits((2055+65*AO26)/(2055+31*65))</f>
        <v>1943.8833082164776</v>
      </c>
      <c r="AQ26" cm="1">
        <f t="array" ref="AQ26">ROUND(PQ2nits((20*$AO26)/(2055+31*65)),3)</f>
        <v>0.31</v>
      </c>
    </row>
    <row r="27" spans="40:54" x14ac:dyDescent="0.3">
      <c r="AN27" s="4">
        <f t="shared" si="2"/>
        <v>2250</v>
      </c>
      <c r="AO27">
        <v>21</v>
      </c>
      <c r="AP27" s="4" cm="1">
        <f t="array" ref="AP27">PQ2nits((2055+65*AO27)/(2055+31*65))</f>
        <v>2250.9912958813088</v>
      </c>
      <c r="AQ27" cm="1">
        <f t="array" ref="AQ27">ROUND(PQ2nits((20*$AO27)/(2055+31*65)),3)</f>
        <v>0.35299999999999998</v>
      </c>
    </row>
    <row r="28" spans="40:54" x14ac:dyDescent="0.3">
      <c r="AN28" s="4">
        <f t="shared" si="2"/>
        <v>2607</v>
      </c>
      <c r="AO28">
        <v>22</v>
      </c>
      <c r="AP28" s="4" cm="1">
        <f t="array" ref="AP28">PQ2nits((2055+65*AO28)/(2055+31*65))</f>
        <v>2607.2486693335695</v>
      </c>
      <c r="AQ28" cm="1">
        <f t="array" ref="AQ28">ROUND(PQ2nits((20*$AO28)/(2055+31*65)),3)</f>
        <v>0.39900000000000002</v>
      </c>
    </row>
    <row r="29" spans="40:54" x14ac:dyDescent="0.3">
      <c r="AN29" s="4">
        <f t="shared" si="2"/>
        <v>3020</v>
      </c>
      <c r="AO29">
        <v>23</v>
      </c>
      <c r="AP29" s="4" cm="1">
        <f t="array" ref="AP29">PQ2nits((2055+65*AO29)/(2055+31*65))</f>
        <v>3020.8227108925894</v>
      </c>
      <c r="AQ29" cm="1">
        <f t="array" ref="AQ29">ROUND(PQ2nits((20*$AO29)/(2055+31*65)),3)</f>
        <v>0.45</v>
      </c>
    </row>
    <row r="30" spans="40:54" x14ac:dyDescent="0.3">
      <c r="AN30" s="4">
        <f t="shared" si="2"/>
        <v>3501</v>
      </c>
      <c r="AO30">
        <v>24</v>
      </c>
      <c r="AP30" s="4" cm="1">
        <f t="array" ref="AP30">PQ2nits((2055+65*AO30)/(2055+31*65))</f>
        <v>3501.3151049329572</v>
      </c>
      <c r="AQ30" cm="1">
        <f t="array" ref="AQ30">ROUND(PQ2nits((20*$AO30)/(2055+31*65)),3)</f>
        <v>0.50600000000000001</v>
      </c>
    </row>
    <row r="31" spans="40:54" x14ac:dyDescent="0.3">
      <c r="AN31" s="4">
        <f t="shared" si="2"/>
        <v>4060</v>
      </c>
      <c r="AO31">
        <v>25</v>
      </c>
      <c r="AP31" s="4" cm="1">
        <f t="array" ref="AP31">PQ2nits((2055+65*AO31)/(2055+31*65))</f>
        <v>4060.0310484963115</v>
      </c>
      <c r="AQ31" cm="1">
        <f t="array" ref="AQ31">ROUND(PQ2nits((20*$AO31)/(2055+31*65)),3)</f>
        <v>0.56599999999999995</v>
      </c>
    </row>
    <row r="32" spans="40:54" x14ac:dyDescent="0.3">
      <c r="AN32" s="4">
        <f t="shared" si="2"/>
        <v>4710</v>
      </c>
      <c r="AO32">
        <v>26</v>
      </c>
      <c r="AP32" s="4" cm="1">
        <f t="array" ref="AP32">PQ2nits((2055+65*AO32)/(2055+31*65))</f>
        <v>4710.3025909539483</v>
      </c>
      <c r="AQ32" cm="1">
        <f t="array" ref="AQ32">ROUND(PQ2nits((20*$AO32)/(2055+31*65)),3)</f>
        <v>0.63100000000000001</v>
      </c>
    </row>
    <row r="33" spans="40:43" x14ac:dyDescent="0.3">
      <c r="AN33" s="4">
        <f t="shared" si="2"/>
        <v>5467</v>
      </c>
      <c r="AO33">
        <v>27</v>
      </c>
      <c r="AP33" s="4" cm="1">
        <f t="array" ref="AP33">PQ2nits((2055+65*AO33)/(2055+31*65))</f>
        <v>5467.8779662038578</v>
      </c>
      <c r="AQ33" cm="1">
        <f t="array" ref="AQ33">ROUND(PQ2nits((20*$AO33)/(2055+31*65)),3)</f>
        <v>0.70199999999999996</v>
      </c>
    </row>
    <row r="34" spans="40:43" x14ac:dyDescent="0.3">
      <c r="AN34" s="4">
        <f t="shared" si="2"/>
        <v>6351</v>
      </c>
      <c r="AO34">
        <v>28</v>
      </c>
      <c r="AP34" s="4" cm="1">
        <f t="array" ref="AP34">PQ2nits((2055+65*AO34)/(2055+31*65))</f>
        <v>6351.3914286654081</v>
      </c>
      <c r="AQ34" cm="1">
        <f t="array" ref="AQ34">ROUND(PQ2nits((20*$AO34)/(2055+31*65)),3)</f>
        <v>0.77900000000000003</v>
      </c>
    </row>
    <row r="35" spans="40:43" x14ac:dyDescent="0.3">
      <c r="AN35" s="4">
        <f t="shared" si="2"/>
        <v>7382</v>
      </c>
      <c r="AO35">
        <v>29</v>
      </c>
      <c r="AP35" s="4" cm="1">
        <f t="array" ref="AP35">PQ2nits((2055+65*AO35)/(2055+31*65))</f>
        <v>7382.9315427440533</v>
      </c>
      <c r="AQ35" cm="1">
        <f t="array" ref="AQ35">ROUND(PQ2nits((20*$AO35)/(2055+31*65)),3)</f>
        <v>0.86199999999999999</v>
      </c>
    </row>
    <row r="36" spans="40:43" x14ac:dyDescent="0.3">
      <c r="AN36" s="4">
        <f t="shared" si="2"/>
        <v>8588</v>
      </c>
      <c r="AO36">
        <v>30</v>
      </c>
      <c r="AP36" s="4" cm="1">
        <f t="array" ref="AP36">PQ2nits((2055+65*AO36)/(2055+31*65))</f>
        <v>8588.7301910478836</v>
      </c>
      <c r="AQ36" cm="1">
        <f t="array" ref="AQ36">ROUND(PQ2nits((20*$AO36)/(2055+31*65)),3)</f>
        <v>0.95099999999999996</v>
      </c>
    </row>
    <row r="37" spans="40:43" x14ac:dyDescent="0.3">
      <c r="AN37" s="4">
        <f t="shared" si="2"/>
        <v>10000</v>
      </c>
      <c r="AO37">
        <v>31</v>
      </c>
      <c r="AP37" s="4" cm="1">
        <f t="array" ref="AP37">PQ2nits((2055+65*AO37)/(2055+31*65))</f>
        <v>10000</v>
      </c>
      <c r="AQ37" cm="1">
        <f t="array" ref="AQ37">ROUND(PQ2nits((20*$AO37)/(2055+31*65)),3)</f>
        <v>1.048</v>
      </c>
    </row>
    <row r="41" spans="40:43" x14ac:dyDescent="0.3">
      <c r="AP41" s="58"/>
      <c r="AQ41" s="58"/>
    </row>
    <row r="42" spans="40:43" x14ac:dyDescent="0.3">
      <c r="AP42" s="58"/>
      <c r="AQ42" s="58"/>
    </row>
    <row r="43" spans="40:43" x14ac:dyDescent="0.3">
      <c r="AP43" s="58"/>
      <c r="AQ43" s="58"/>
    </row>
    <row r="44" spans="40:43" x14ac:dyDescent="0.3">
      <c r="AP44" s="58"/>
      <c r="AQ44" s="58"/>
    </row>
    <row r="45" spans="40:43" x14ac:dyDescent="0.3">
      <c r="AP45" s="58"/>
      <c r="AQ45" s="58"/>
    </row>
    <row r="46" spans="40:43" x14ac:dyDescent="0.3">
      <c r="AP46" s="58"/>
      <c r="AQ46" s="58"/>
    </row>
    <row r="47" spans="40:43" x14ac:dyDescent="0.3">
      <c r="AP47" s="58"/>
      <c r="AQ47" s="58"/>
    </row>
    <row r="48" spans="40:43" x14ac:dyDescent="0.3">
      <c r="AP48" s="58"/>
      <c r="AQ48" s="58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3" priority="4">
      <formula>$E$7="Not Supported"</formula>
    </cfRule>
  </conditionalFormatting>
  <conditionalFormatting sqref="N7">
    <cfRule type="expression" dxfId="2" priority="3">
      <formula>$P$7="Supported"</formula>
    </cfRule>
  </conditionalFormatting>
  <conditionalFormatting sqref="P7">
    <cfRule type="expression" dxfId="1" priority="2">
      <formula>$N$7="Supported"</formula>
    </cfRule>
  </conditionalFormatting>
  <conditionalFormatting sqref="N7 P7">
    <cfRule type="expression" dxfId="0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7DD70907-19DB-4709-BDD5-CF855966FAC3}">
      <formula1>$AN$5:$AN$37</formula1>
    </dataValidation>
    <dataValidation type="list" allowBlank="1" showInputMessage="1" showErrorMessage="1" sqref="I7" xr:uid="{3F8E479C-705D-4193-9D8C-1C95BD13E98A}">
      <formula1>$AR$5:$AR$9</formula1>
    </dataValidation>
    <dataValidation type="list" allowBlank="1" showInputMessage="1" showErrorMessage="1" sqref="I3" xr:uid="{E983231F-37E2-47BC-A910-63F6403DBA45}">
      <formula1>$AU$16:$AU$18</formula1>
    </dataValidation>
    <dataValidation type="list" allowBlank="1" showInputMessage="1" showErrorMessage="1" sqref="L7" xr:uid="{5016BA8E-61A1-46E7-BD12-5ABFC0B02E92}">
      <formula1>$AU$5:$AU$8</formula1>
    </dataValidation>
    <dataValidation type="list" allowBlank="1" showInputMessage="1" showErrorMessage="1" sqref="E7:F7 H7 N7 P7" xr:uid="{9628BB4E-CBE2-4806-9391-E83B2F4E7B99}">
      <formula1>"Supported, Not Supported"</formula1>
    </dataValidation>
    <dataValidation type="list" allowBlank="1" showInputMessage="1" showErrorMessage="1" sqref="G7" xr:uid="{E6250802-8448-4D86-A807-07D9BB50453C}">
      <formula1>$AQ$5:$AQ$37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892454</xdr:colOff>
                    <xdr:row>9</xdr:row>
                    <xdr:rowOff>7315</xdr:rowOff>
                  </from>
                  <to>
                    <xdr:col>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892454</xdr:colOff>
                    <xdr:row>10</xdr:row>
                    <xdr:rowOff>0</xdr:rowOff>
                  </from>
                  <to>
                    <xdr:col>2</xdr:col>
                    <xdr:colOff>0</xdr:colOff>
                    <xdr:row>10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Patcher</vt:lpstr>
      <vt:lpstr>Custom DV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Nappi</dc:creator>
  <cp:lastModifiedBy>Chris Nappi</cp:lastModifiedBy>
  <dcterms:created xsi:type="dcterms:W3CDTF">2022-09-23T12:57:39Z</dcterms:created>
  <dcterms:modified xsi:type="dcterms:W3CDTF">2023-03-25T15:27:22Z</dcterms:modified>
</cp:coreProperties>
</file>