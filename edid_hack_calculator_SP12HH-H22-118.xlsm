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8_{E45CA7F1-A453-4BA4-84B7-A4F77E274841}" xr6:coauthVersionLast="47" xr6:coauthVersionMax="47" xr10:uidLastSave="{00000000-0000-0000-0000-000000000000}"/>
  <bookViews>
    <workbookView xWindow="22441" yWindow="4170" windowWidth="18616" windowHeight="15310" firstSheet="1" activeTab="1" xr2:uid="{DE808AFE-8AFE-4111-8161-9EF8B03B2A2C}"/>
  </bookViews>
  <sheets>
    <sheet name="Patcher" sheetId="1" r:id="rId1"/>
    <sheet name="Custom DV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M7" i="5"/>
  <c r="M8" i="5" s="1"/>
  <c r="C5" i="5"/>
  <c r="AP36" i="5" a="1"/>
  <c r="AP35" i="5" a="1"/>
  <c r="AQ13" i="5" a="1"/>
  <c r="AQ34" i="5" a="1"/>
  <c r="AQ22" i="5" a="1"/>
  <c r="AQ6" i="5" a="1"/>
  <c r="AQ5" i="5" a="1"/>
  <c r="AP7" i="5" a="1"/>
  <c r="AQ21" i="5" a="1"/>
  <c r="AP5" i="5" a="1"/>
  <c r="AQ20" i="5" a="1"/>
  <c r="AQ19" i="5" a="1"/>
  <c r="AP31" i="5" a="1"/>
  <c r="AQ8" i="5" a="1"/>
  <c r="AP8" i="5" a="1"/>
  <c r="AP27" i="5" a="1"/>
  <c r="AP33" i="5" a="1"/>
  <c r="AP30" i="5" a="1"/>
  <c r="AP26" i="5" a="1"/>
  <c r="AP22" i="5" a="1"/>
  <c r="AP9" i="5" a="1"/>
  <c r="AQ15" i="5" a="1"/>
  <c r="AQ28" i="5" a="1"/>
  <c r="AQ27" i="5" a="1"/>
  <c r="AQ7" i="5" a="1"/>
  <c r="AP21" i="5" a="1"/>
  <c r="AQ14" i="5" a="1"/>
  <c r="AP13" i="5" a="1"/>
  <c r="AP10" i="5" a="1"/>
  <c r="AQ33" i="5" a="1"/>
  <c r="AQ29" i="5" a="1"/>
  <c r="AQ32" i="5" a="1"/>
  <c r="AP23" i="5" a="1"/>
  <c r="AP20" i="5" a="1"/>
  <c r="AP18" i="5" a="1"/>
  <c r="AP6" i="5" a="1"/>
  <c r="AP19" i="5" a="1"/>
  <c r="AP11" i="5" a="1"/>
  <c r="AP14" i="5" a="1"/>
  <c r="AP17" i="5" a="1"/>
  <c r="AP34" i="5" a="1"/>
  <c r="AP32" i="5" a="1"/>
  <c r="AP25" i="5" a="1"/>
  <c r="AP28" i="5" a="1"/>
  <c r="AP15" i="5" a="1"/>
  <c r="AQ10" i="5" a="1"/>
  <c r="AQ9" i="5" a="1"/>
  <c r="AQ11" i="5" a="1"/>
  <c r="AQ37" i="5" a="1"/>
  <c r="AQ17" i="5" a="1"/>
  <c r="AQ24" i="5" a="1"/>
  <c r="AQ23" i="5" a="1"/>
  <c r="AP16" i="5" a="1"/>
  <c r="AQ26" i="5" a="1"/>
  <c r="AQ31" i="5" a="1"/>
  <c r="AQ36" i="5" a="1"/>
  <c r="AQ35" i="5" a="1"/>
  <c r="AQ25" i="5" a="1"/>
  <c r="AQ12" i="5" a="1"/>
  <c r="AQ16" i="5" a="1"/>
  <c r="AP37" i="5" a="1"/>
  <c r="AP24" i="5" a="1"/>
  <c r="AP12" i="5" a="1"/>
  <c r="AP29" i="5" a="1"/>
  <c r="AQ18" i="5" a="1"/>
  <c r="AQ30" i="5" a="1"/>
  <c r="AQ30" i="5" l="1"/>
  <c r="AQ18" i="5"/>
  <c r="AP29" i="5"/>
  <c r="AP12" i="5"/>
  <c r="AN12" i="5" s="1"/>
  <c r="AP24" i="5"/>
  <c r="AP37" i="5"/>
  <c r="AN37" i="5" s="1"/>
  <c r="AQ16" i="5"/>
  <c r="AQ12" i="5"/>
  <c r="AQ25" i="5"/>
  <c r="AQ35" i="5"/>
  <c r="AQ36" i="5"/>
  <c r="AQ31" i="5"/>
  <c r="AQ26" i="5"/>
  <c r="AP16" i="5"/>
  <c r="AN16" i="5" s="1"/>
  <c r="AQ23" i="5"/>
  <c r="AQ24" i="5"/>
  <c r="AQ17" i="5"/>
  <c r="AQ37" i="5"/>
  <c r="AQ11" i="5"/>
  <c r="AQ9" i="5"/>
  <c r="AQ10" i="5"/>
  <c r="AP15" i="5"/>
  <c r="AN15" i="5" s="1"/>
  <c r="AP28" i="5"/>
  <c r="AP25" i="5"/>
  <c r="AN25" i="5" s="1"/>
  <c r="AP32" i="5"/>
  <c r="AP34" i="5"/>
  <c r="AP17" i="5"/>
  <c r="AN17" i="5" s="1"/>
  <c r="AP14" i="5"/>
  <c r="AN14" i="5" s="1"/>
  <c r="AP11" i="5"/>
  <c r="AP19" i="5"/>
  <c r="AP6" i="5"/>
  <c r="AN6" i="5" s="1"/>
  <c r="AP18" i="5"/>
  <c r="AN18" i="5" s="1"/>
  <c r="AP20" i="5"/>
  <c r="AP23" i="5"/>
  <c r="AN23" i="5" s="1"/>
  <c r="AQ32" i="5"/>
  <c r="AQ29" i="5"/>
  <c r="AQ33" i="5"/>
  <c r="AP10" i="5"/>
  <c r="AP13" i="5"/>
  <c r="AQ14" i="5"/>
  <c r="AP21" i="5"/>
  <c r="AQ7" i="5"/>
  <c r="AQ27" i="5"/>
  <c r="AQ28" i="5"/>
  <c r="AQ15" i="5"/>
  <c r="AP9" i="5"/>
  <c r="AP22" i="5"/>
  <c r="AP26" i="5"/>
  <c r="AN26" i="5" s="1"/>
  <c r="AP30" i="5"/>
  <c r="AP33" i="5"/>
  <c r="AN33" i="5" s="1"/>
  <c r="AP27" i="5"/>
  <c r="AN27" i="5" s="1"/>
  <c r="AP8" i="5"/>
  <c r="AN8" i="5" s="1"/>
  <c r="AQ8" i="5"/>
  <c r="AP31" i="5"/>
  <c r="AQ19" i="5"/>
  <c r="AQ20" i="5"/>
  <c r="AP5" i="5"/>
  <c r="AQ21" i="5"/>
  <c r="AP7" i="5"/>
  <c r="AN7" i="5" s="1"/>
  <c r="AQ5" i="5"/>
  <c r="G8" i="5" s="1"/>
  <c r="G5" i="5" s="1"/>
  <c r="AQ6" i="5"/>
  <c r="AQ22" i="5"/>
  <c r="AQ34" i="5"/>
  <c r="AQ13" i="5"/>
  <c r="AP35" i="5"/>
  <c r="AP36" i="5"/>
  <c r="O5" i="5"/>
  <c r="M5" i="5"/>
  <c r="AN5" i="5"/>
  <c r="AN9" i="5"/>
  <c r="AN19" i="5"/>
  <c r="AN31" i="5"/>
  <c r="AN35" i="5"/>
  <c r="AN22" i="5"/>
  <c r="AN30" i="5"/>
  <c r="AN34" i="5"/>
  <c r="AN11" i="5"/>
  <c r="AN21" i="5"/>
  <c r="AN29" i="5"/>
  <c r="AN10" i="5"/>
  <c r="AN13" i="5"/>
  <c r="AN20" i="5"/>
  <c r="AN24" i="5"/>
  <c r="AN28" i="5"/>
  <c r="AN32" i="5"/>
  <c r="AN36" i="5"/>
  <c r="Q5" i="5"/>
  <c r="J8" i="5" l="1"/>
  <c r="J5" i="5" s="1"/>
  <c r="C12" i="5" s="1"/>
  <c r="C14" i="5"/>
  <c r="C15" i="5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D7" i="1"/>
  <c r="AE6" i="1" a="1"/>
  <c r="AC6" i="1" a="1"/>
  <c r="G4" i="1" a="1"/>
  <c r="E6" i="1" a="1"/>
  <c r="E7" i="1"/>
  <c r="G7" i="1"/>
  <c r="C6" i="1" a="1"/>
  <c r="W6" i="1" a="1"/>
  <c r="V6" i="1" a="1"/>
  <c r="V4" i="1" a="1"/>
  <c r="N7" i="1"/>
  <c r="C4" i="1" a="1"/>
  <c r="O6" i="1" a="1"/>
  <c r="I6" i="1" a="1"/>
  <c r="AA6" i="1" a="1"/>
  <c r="L6" i="1" a="1"/>
  <c r="AG6" i="1" a="1"/>
  <c r="D6" i="1" a="1"/>
  <c r="N4" i="1" a="1"/>
  <c r="F4" i="1" a="1"/>
  <c r="AB6" i="1" a="1"/>
  <c r="R6" i="1" a="1"/>
  <c r="AD6" i="1" a="1"/>
  <c r="AH6" i="1" a="1"/>
  <c r="N6" i="1" a="1"/>
  <c r="S6" i="1" a="1"/>
  <c r="M6" i="1" a="1"/>
  <c r="P6" i="1" a="1"/>
  <c r="J6" i="1" a="1"/>
  <c r="H6" i="1" a="1"/>
  <c r="H4" i="1" a="1"/>
  <c r="AF6" i="1" a="1"/>
  <c r="Q6" i="1" a="1"/>
  <c r="Z4" i="1" a="1"/>
  <c r="H7" i="1"/>
  <c r="X6" i="1" a="1"/>
  <c r="R4" i="1" a="1"/>
  <c r="D4" i="1" a="1"/>
  <c r="Y6" i="1" a="1"/>
  <c r="J7" i="1"/>
  <c r="K6" i="1" a="1"/>
  <c r="Z6" i="1" a="1"/>
  <c r="G6" i="1" a="1"/>
  <c r="C7" i="1"/>
  <c r="F7" i="1"/>
  <c r="U6" i="1" a="1"/>
  <c r="T6" i="1" a="1"/>
  <c r="V7" i="1"/>
  <c r="F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P7" i="1"/>
  <c r="J4" i="1" a="1"/>
  <c r="AE4" i="1" a="1"/>
  <c r="E4" i="1" a="1"/>
  <c r="Q7" i="1"/>
  <c r="Y4" i="1" a="1"/>
  <c r="I4" i="1" a="1"/>
  <c r="M4" i="1" a="1"/>
  <c r="X4" i="1" a="1"/>
  <c r="K7" i="1"/>
  <c r="AD4" i="1" a="1"/>
  <c r="AF4" i="1" a="1"/>
  <c r="AF7" i="1"/>
  <c r="U7" i="1"/>
  <c r="AH4" i="1" a="1"/>
  <c r="U4" i="1" a="1"/>
  <c r="O7" i="1"/>
  <c r="I7" i="1"/>
  <c r="O4" i="1" a="1"/>
  <c r="Q4" i="1" a="1"/>
  <c r="W7" i="1"/>
  <c r="AB7" i="1"/>
  <c r="AG4" i="1" a="1"/>
  <c r="S7" i="1"/>
  <c r="X7" i="1"/>
  <c r="Y7" i="1"/>
  <c r="S4" i="1" a="1"/>
  <c r="AC4" i="1" a="1"/>
  <c r="W4" i="1" a="1"/>
  <c r="AC7" i="1"/>
  <c r="R7" i="1"/>
  <c r="AA7" i="1"/>
  <c r="AD7" i="1"/>
  <c r="L7" i="1"/>
  <c r="AH7" i="1"/>
  <c r="P4" i="1" a="1"/>
  <c r="T4" i="1" a="1"/>
  <c r="L4" i="1" a="1"/>
  <c r="Z7" i="1"/>
  <c r="AG7" i="1"/>
  <c r="AB4" i="1" a="1"/>
  <c r="T7" i="1"/>
  <c r="K4" i="1" a="1"/>
  <c r="AE7" i="1"/>
  <c r="AA4" i="1" a="1"/>
  <c r="M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<sst xmlns="http://schemas.openxmlformats.org/spreadsheetml/2006/main" count="92" uniqueCount="73">
  <si>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</si>
  <si>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</si>
  <si>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</si>
  <si>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</si>
  <si>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</si>
  <si>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</si>
  <si>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</si>
  <si>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</si>
  <si>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</si>
  <si>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</si>
  <si>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</si>
  <si>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</si>
  <si>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</si>
  <si>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</si>
  <si>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</si>
  <si>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</si>
  <si>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</si>
  <si>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</si>
  <si>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</si>
  <si>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</si>
  <si>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</si>
  <si>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</si>
  <si>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</si>
  <si>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</si>
  <si>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</si>
  <si>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</si>
  <si>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</si>
  <si>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</si>
  <si>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</si>
  <si>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</si>
  <si>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</si>
  <si>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</si>
  <si>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</si>
  <si>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</si>
  <si>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</si>
  <si>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</si>
  <si>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</si>
  <si>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</si>
  <si>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</si>
  <si>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</si>
  <si>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</si>
  <si>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</si>
  <si>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</si>
  <si>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</si>
  <si>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</si>
  <si>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</si>
  <si>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</si>
  <si>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</si>
  <si>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</si>
  <si>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</si>
  <si>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</si>
  <si>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</si>
  <si>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</si>
  <si>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</si>
  <si>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</si>
  <si>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</si>
  <si>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</si>
  <si>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</si>
  <si>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</si>
  <si>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</si>
  <si>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</si>
  <si>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</si>
  <si>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</si>
  <si>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</si>
  <si>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</si>
  <si>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</si>
  <si>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</si>
  <si>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</si>
  <si>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</si>
  <si>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C:\exes\gd32\ezcoo_sp12hh-h22_bt2020_ML385.hex</t>
  </si>
  <si>
    <t>Patch 0F00000</t>
  </si>
  <si>
    <t>Patch 0F10000</t>
  </si>
  <si>
    <t>C:\exes\gd32\SP12HH-H22-118-V1.45.hex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</si>
</sst>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0" fillId="2" borderId="0" xfId="0" applyFill="1" applyBorder="1"/>
    <xf numFmtId="0" fontId="1" fillId="2" borderId="27" xfId="0" quotePrefix="1" applyFont="1" applyFill="1" applyBorder="1"/>
    <xf numFmtId="0" fontId="1" fillId="2" borderId="1" xfId="0" applyFont="1" applyFill="1" applyBorder="1"/>
    <xf numFmtId="0" fontId="1" fillId="2" borderId="34" xfId="0" applyFont="1" applyFill="1" applyBorder="1"/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8"/>
  <sheetViews>
    <sheetView tabSelected="1" workbookViewId="0">
      <selection activeCell="F19" sqref="F19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6" t="s">
        <v>65</v>
      </c>
      <c r="C5" s="63" t="str">
        <f>DEC2HEX(_xlfn.BITLSHIFT(BIN2DEC(C8),5)+_xlfn.BITLSHIFT(BIN2DEC(D8),2)+_xlfn.BITLSHIFT(BIN2DEC(E8),1)+BIN2DEC(F8))</f>
        <v>47</v>
      </c>
      <c r="D5" s="63"/>
      <c r="E5" s="63"/>
      <c r="F5" s="64"/>
      <c r="G5" s="65" t="str">
        <f>DEC2HEX(_xlfn.BITLSHIFT(BIN2DEC(G8),3)+_xlfn.BITLSHIFT(BIN2DEC(H8),2)+BIN2DEC(I8),2)</f>
        <v>03</v>
      </c>
      <c r="H5" s="61"/>
      <c r="I5" s="62"/>
      <c r="J5" s="65" t="str">
        <f>DEC2HEX(_xlfn.BITLSHIFT(BIN2DEC(J8),3)+_xlfn.BITLSHIFT(BIN2DEC(K8),1)+BIN2DEC(L8),2)</f>
        <v>48</v>
      </c>
      <c r="K5" s="61"/>
      <c r="L5" s="62"/>
      <c r="M5" s="61" t="str">
        <f>BIN2HEX(_xlfn.CONCAT(M8,N8),2)</f>
        <v>57</v>
      </c>
      <c r="N5" s="62"/>
      <c r="O5" s="61" t="str">
        <f>BIN2HEX(_xlfn.CONCAT(O8,P8),2)</f>
        <v>98</v>
      </c>
      <c r="P5" s="62"/>
      <c r="Q5" s="61" t="str">
        <f>BIN2HEX(_xlfn.CONCAT(Q8,R8),2)</f>
        <v>A9</v>
      </c>
      <c r="R5" s="62"/>
      <c r="S5" s="61" t="str">
        <f>BIN2HEX(_xlfn.CONCAT(S8,T8),2)</f>
        <v>53</v>
      </c>
      <c r="T5" s="62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5" t="s">
        <v>66</v>
      </c>
      <c r="C6" s="51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4"/>
      <c r="C7" s="52">
        <v>2</v>
      </c>
      <c r="D7" s="9" t="s">
        <v>20</v>
      </c>
      <c r="E7" s="13" t="s">
        <v>18</v>
      </c>
      <c r="F7" s="13" t="s">
        <v>18</v>
      </c>
      <c r="G7" s="60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INDEX(AX16:AX18,MATCH(I3,AU16:AU18,0))</f>
        <v>0.17</v>
      </c>
      <c r="N7" s="33" t="s">
        <v>18</v>
      </c>
      <c r="O7" s="22">
        <f>INDEX(AY16:AY18,MATCH($I$3,$AU$16:$AU$18,0))</f>
        <v>0.79700000000000004</v>
      </c>
      <c r="P7" s="33" t="s">
        <v>19</v>
      </c>
      <c r="Q7" s="22">
        <f>INDEX(AV16:AV18,MATCH($I$3,$AU$16:$AU$18,0))</f>
        <v>0.70799999999999996</v>
      </c>
      <c r="R7" s="23">
        <f>INDEX(AZ16:AZ18,MATCH($I$3,$AU$16:$AU$18,0))</f>
        <v>0.13100000000000001</v>
      </c>
      <c r="S7" s="9">
        <f>INDEX(AW16:AW18,MATCH($I$3,$AU$16:$AU$18,0))</f>
        <v>0.29199999999999998</v>
      </c>
      <c r="T7" s="23">
        <f>INDEX(BA16:BA18,MATCH($I$3,$AU$16:$AU$18,0))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7"/>
      <c r="C8" s="53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DEC2BIN(_xlfn.XLOOKUP(G7,AQ5:AQ37,AO5:AO37),5)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DEC2BIN(VLOOKUP(J7,AN5:AO37,2),5)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5" t="s">
        <v>63</v>
      </c>
      <c r="C10" s="37" t="s">
        <v>72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6" t="s">
        <v>64</v>
      </c>
      <c r="C11" s="35" t="s">
        <v>69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8" t="s">
        <v>0</v>
      </c>
      <c r="C12" s="49" t="str">
        <f>_xlfn.CONCAT(B5:T5)</f>
        <v>EB0146D0004703485798A953</v>
      </c>
      <c r="D12" s="49"/>
      <c r="E12" s="49"/>
      <c r="F12" s="49"/>
      <c r="G12" s="49"/>
      <c r="H12" s="49"/>
      <c r="I12" s="49"/>
      <c r="J12" s="50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7" t="s">
        <v>62</v>
      </c>
      <c r="C13" s="42" t="str" cm="1">
        <f t="array" ref="C13">EDIDCheckSum(C12)</f>
        <v>5B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">
        <v>70</v>
      </c>
      <c r="C14" s="68" t="str">
        <f>_xlfn.CONCAT(":100F000003E3060501", LEFT($C$12,22), "",IntelHexChecksum(_xlfn.CONCAT("100F000003E3060501", LEFT($C$12,22), "")))</f>
        <v>:100F000003E3060501EB0146D0004703485798A9C3</v>
      </c>
      <c r="D14" s="66"/>
      <c r="E14" s="66"/>
      <c r="F14" s="66"/>
      <c r="G14" s="66"/>
      <c r="H14" s="66"/>
      <c r="I14" s="66"/>
      <c r="J14" s="41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ht="15" thickBot="1" x14ac:dyDescent="0.35">
      <c r="B15" s="59" t="s">
        <v>71</v>
      </c>
      <c r="C15" s="69" t="str">
        <f>_xlfn.CONCAT(":100F1000", RIGHT($C$12,2), "8C0AD08A20E02D10103E9600C48E21",IntelHexChecksum(_xlfn.CONCAT("100F000003E3060501", RIGHT($C$12,H312), "8C0AD08A20E02D10103E9600C48E21")))</f>
        <v>:100F1000538C0AD08A20E02D10103E9600C48E216B</v>
      </c>
      <c r="D15" s="43"/>
      <c r="E15" s="43"/>
      <c r="F15" s="43"/>
      <c r="G15" s="43"/>
      <c r="H15" s="43"/>
      <c r="I15" s="43"/>
      <c r="J15" s="44"/>
      <c r="AN15" s="4">
        <f t="shared" ref="AN15" si="1">INT(AP15)</f>
        <v>385</v>
      </c>
      <c r="AO15">
        <v>9</v>
      </c>
      <c r="AP15" s="4" cm="1">
        <f t="array" ref="AP15">PQ2nits((2055+65*AO15)/(2055+31*65))</f>
        <v>385.60127757797198</v>
      </c>
      <c r="AQ15" cm="1">
        <f t="array" ref="AQ15">ROUND(PQ2nits((20*$AO15)/(2055+31*65)),3)</f>
        <v>4.5999999999999999E-2</v>
      </c>
      <c r="AU15" t="s">
        <v>41</v>
      </c>
      <c r="AV15" t="s">
        <v>45</v>
      </c>
      <c r="AW15" t="s">
        <v>46</v>
      </c>
      <c r="AX15" t="s">
        <v>47</v>
      </c>
      <c r="AY15" t="s">
        <v>48</v>
      </c>
      <c r="AZ15" t="s">
        <v>49</v>
      </c>
      <c r="BA15" t="s">
        <v>50</v>
      </c>
      <c r="BB15" t="s">
        <v>54</v>
      </c>
    </row>
    <row r="16" spans="2:54" x14ac:dyDescent="0.3">
      <c r="C16" s="1"/>
      <c r="AN16" s="4">
        <f t="shared" ref="AN16:AN37" si="2">INT(AP16)</f>
        <v>447</v>
      </c>
      <c r="AO16">
        <v>10</v>
      </c>
      <c r="AP16" s="4" cm="1">
        <f t="array" ref="AP16">PQ2nits((2055+65*AO16)/(2055+31*65))</f>
        <v>447.44243145789636</v>
      </c>
      <c r="AQ16" cm="1">
        <f t="array" ref="AQ16">ROUND(PQ2nits((20*$AO16)/(2055+31*65)),3)</f>
        <v>5.8000000000000003E-2</v>
      </c>
      <c r="AU16" s="6" t="s">
        <v>42</v>
      </c>
      <c r="AV16" s="21">
        <v>0.64</v>
      </c>
      <c r="AW16" s="21">
        <v>0.33</v>
      </c>
      <c r="AX16" s="21">
        <v>0.3</v>
      </c>
      <c r="AY16" s="21">
        <v>0.6</v>
      </c>
      <c r="AZ16" s="21">
        <v>0.15</v>
      </c>
      <c r="BA16" s="21">
        <v>0.06</v>
      </c>
      <c r="BB16" t="s">
        <v>53</v>
      </c>
    </row>
    <row r="17" spans="40:54" x14ac:dyDescent="0.3">
      <c r="AN17" s="4">
        <f t="shared" si="2"/>
        <v>518</v>
      </c>
      <c r="AO17">
        <v>11</v>
      </c>
      <c r="AP17" s="4" cm="1">
        <f t="array" ref="AP17">PQ2nits((2055+65*AO17)/(2055+31*65))</f>
        <v>518.90120035135783</v>
      </c>
      <c r="AQ17" cm="1">
        <f t="array" ref="AQ17">ROUND(PQ2nits((20*$AO17)/(2055+31*65)),3)</f>
        <v>7.1999999999999995E-2</v>
      </c>
      <c r="AU17" s="6" t="s">
        <v>43</v>
      </c>
      <c r="AV17" s="21">
        <v>0.70799999999999996</v>
      </c>
      <c r="AW17" s="21">
        <v>0.29199999999999998</v>
      </c>
      <c r="AX17" s="21">
        <v>0.17</v>
      </c>
      <c r="AY17" s="21">
        <v>0.79700000000000004</v>
      </c>
      <c r="AZ17" s="21">
        <v>0.13100000000000001</v>
      </c>
      <c r="BA17" s="21">
        <v>4.5999999999999999E-2</v>
      </c>
      <c r="BB17" t="s">
        <v>51</v>
      </c>
    </row>
    <row r="18" spans="40:54" x14ac:dyDescent="0.3">
      <c r="AN18" s="4">
        <f t="shared" si="2"/>
        <v>601</v>
      </c>
      <c r="AO18">
        <v>12</v>
      </c>
      <c r="AP18" s="4" cm="1">
        <f t="array" ref="AP18">PQ2nits((2055+65*AO18)/(2055+31*65))</f>
        <v>601.47603811806903</v>
      </c>
      <c r="AQ18" cm="1">
        <f t="array" ref="AQ18">ROUND(PQ2nits((20*$AO18)/(2055+31*65)),3)</f>
        <v>8.7999999999999995E-2</v>
      </c>
      <c r="AU18" s="6" t="s">
        <v>44</v>
      </c>
      <c r="AV18" s="21">
        <v>0.68</v>
      </c>
      <c r="AW18" s="21">
        <v>0.32</v>
      </c>
      <c r="AX18" s="21">
        <v>0.26500000000000001</v>
      </c>
      <c r="AY18" s="21">
        <v>0.69</v>
      </c>
      <c r="AZ18" s="21">
        <v>0.15</v>
      </c>
      <c r="BA18" s="21">
        <v>0.06</v>
      </c>
      <c r="BB18" t="s">
        <v>52</v>
      </c>
    </row>
    <row r="19" spans="40:54" x14ac:dyDescent="0.3">
      <c r="AN19" s="4">
        <f t="shared" si="2"/>
        <v>696</v>
      </c>
      <c r="AO19">
        <v>13</v>
      </c>
      <c r="AP19" s="4" cm="1">
        <f t="array" ref="AP19">PQ2nits((2055+65*AO19)/(2055+31*65))</f>
        <v>696.90573691813393</v>
      </c>
      <c r="AQ19" cm="1">
        <f t="array" ref="AQ19">ROUND(PQ2nits((20*$AO19)/(2055+31*65)),3)</f>
        <v>0.106</v>
      </c>
    </row>
    <row r="20" spans="40:54" x14ac:dyDescent="0.3">
      <c r="AN20" s="4">
        <f t="shared" si="2"/>
        <v>807</v>
      </c>
      <c r="AO20">
        <v>14</v>
      </c>
      <c r="AP20" s="4" cm="1">
        <f t="array" ref="AP20">PQ2nits((2055+65*AO20)/(2055+31*65))</f>
        <v>807.20984771936151</v>
      </c>
      <c r="AQ20" cm="1">
        <f t="array" ref="AQ20">ROUND(PQ2nits((20*$AO20)/(2055+31*65)),3)</f>
        <v>0.127</v>
      </c>
    </row>
    <row r="21" spans="40:54" x14ac:dyDescent="0.3">
      <c r="AN21" s="4">
        <f t="shared" si="2"/>
        <v>934</v>
      </c>
      <c r="AO21">
        <v>15</v>
      </c>
      <c r="AP21" s="4" cm="1">
        <f t="array" ref="AP21">PQ2nits((2055+65*AO21)/(2055+31*65))</f>
        <v>934.73630576927678</v>
      </c>
      <c r="AQ21" cm="1">
        <f t="array" ref="AQ21">ROUND(PQ2nits((20*$AO21)/(2055+31*65)),3)</f>
        <v>0.15</v>
      </c>
    </row>
    <row r="22" spans="40:54" x14ac:dyDescent="0.3">
      <c r="AN22" s="4">
        <f t="shared" si="2"/>
        <v>1082</v>
      </c>
      <c r="AO22">
        <v>16</v>
      </c>
      <c r="AP22" s="4" cm="1">
        <f t="array" ref="AP22">PQ2nits((2055+65*AO22)/(2055+31*65))</f>
        <v>1082.2176298226216</v>
      </c>
      <c r="AQ22" cm="1">
        <f t="array" ref="AQ22">ROUND(PQ2nits((20*$AO22)/(2055+31*65)),3)</f>
        <v>0.17599999999999999</v>
      </c>
    </row>
    <row r="23" spans="40:54" x14ac:dyDescent="0.3">
      <c r="AN23" s="4">
        <f t="shared" si="2"/>
        <v>1252</v>
      </c>
      <c r="AO23">
        <v>17</v>
      </c>
      <c r="AP23" s="4" cm="1">
        <f t="array" ref="AP23">PQ2nits((2055+65*AO23)/(2055+31*65))</f>
        <v>1252.8373417551975</v>
      </c>
      <c r="AQ23" cm="1">
        <f t="array" ref="AQ23">ROUND(PQ2nits((20*$AO23)/(2055+31*65)),3)</f>
        <v>0.20399999999999999</v>
      </c>
    </row>
    <row r="24" spans="40:54" x14ac:dyDescent="0.3">
      <c r="AN24" s="4">
        <f t="shared" si="2"/>
        <v>1450</v>
      </c>
      <c r="AO24">
        <v>18</v>
      </c>
      <c r="AP24" s="4" cm="1">
        <f t="array" ref="AP24">PQ2nits((2055+65*AO24)/(2055+31*65))</f>
        <v>1450.3085913304442</v>
      </c>
      <c r="AQ24" cm="1">
        <f t="array" ref="AQ24">ROUND(PQ2nits((20*$AO24)/(2055+31*65)),3)</f>
        <v>0.23599999999999999</v>
      </c>
    </row>
    <row r="25" spans="40:54" x14ac:dyDescent="0.3">
      <c r="AN25" s="4">
        <f t="shared" si="2"/>
        <v>1678</v>
      </c>
      <c r="AO25">
        <v>19</v>
      </c>
      <c r="AP25" s="4" cm="1">
        <f t="array" ref="AP25">PQ2nits((2055+65*AO25)/(2055+31*65))</f>
        <v>1678.9673833059749</v>
      </c>
      <c r="AQ25" cm="1">
        <f t="array" ref="AQ25">ROUND(PQ2nits((20*$AO25)/(2055+31*65)),3)</f>
        <v>0.27100000000000002</v>
      </c>
    </row>
    <row r="26" spans="40:54" x14ac:dyDescent="0.3">
      <c r="AN26" s="4">
        <f t="shared" si="2"/>
        <v>1943</v>
      </c>
      <c r="AO26">
        <v>20</v>
      </c>
      <c r="AP26" s="4" cm="1">
        <f t="array" ref="AP26">PQ2nits((2055+65*AO26)/(2055+31*65))</f>
        <v>1943.8833082164776</v>
      </c>
      <c r="AQ26" cm="1">
        <f t="array" ref="AQ26">ROUND(PQ2nits((20*$AO26)/(2055+31*65)),3)</f>
        <v>0.31</v>
      </c>
    </row>
    <row r="27" spans="40:54" x14ac:dyDescent="0.3">
      <c r="AN27" s="4">
        <f t="shared" si="2"/>
        <v>2250</v>
      </c>
      <c r="AO27">
        <v>21</v>
      </c>
      <c r="AP27" s="4" cm="1">
        <f t="array" ref="AP27">PQ2nits((2055+65*AO27)/(2055+31*65))</f>
        <v>2250.9912958813088</v>
      </c>
      <c r="AQ27" cm="1">
        <f t="array" ref="AQ27">ROUND(PQ2nits((20*$AO27)/(2055+31*65)),3)</f>
        <v>0.35299999999999998</v>
      </c>
    </row>
    <row r="28" spans="40:54" x14ac:dyDescent="0.3">
      <c r="AN28" s="4">
        <f t="shared" si="2"/>
        <v>2607</v>
      </c>
      <c r="AO28">
        <v>22</v>
      </c>
      <c r="AP28" s="4" cm="1">
        <f t="array" ref="AP28">PQ2nits((2055+65*AO28)/(2055+31*65))</f>
        <v>2607.2486693335695</v>
      </c>
      <c r="AQ28" cm="1">
        <f t="array" ref="AQ28">ROUND(PQ2nits((20*$AO28)/(2055+31*65)),3)</f>
        <v>0.39900000000000002</v>
      </c>
    </row>
    <row r="29" spans="40:54" x14ac:dyDescent="0.3">
      <c r="AN29" s="4">
        <f t="shared" si="2"/>
        <v>3020</v>
      </c>
      <c r="AO29">
        <v>23</v>
      </c>
      <c r="AP29" s="4" cm="1">
        <f t="array" ref="AP29">PQ2nits((2055+65*AO29)/(2055+31*65))</f>
        <v>3020.8227108925894</v>
      </c>
      <c r="AQ29" cm="1">
        <f t="array" ref="AQ29">ROUND(PQ2nits((20*$AO29)/(2055+31*65)),3)</f>
        <v>0.45</v>
      </c>
    </row>
    <row r="30" spans="40:54" x14ac:dyDescent="0.3">
      <c r="AN30" s="4">
        <f t="shared" si="2"/>
        <v>3501</v>
      </c>
      <c r="AO30">
        <v>24</v>
      </c>
      <c r="AP30" s="4" cm="1">
        <f t="array" ref="AP30">PQ2nits((2055+65*AO30)/(2055+31*65))</f>
        <v>3501.3151049329572</v>
      </c>
      <c r="AQ30" cm="1">
        <f t="array" ref="AQ30">ROUND(PQ2nits((20*$AO30)/(2055+31*65)),3)</f>
        <v>0.50600000000000001</v>
      </c>
    </row>
    <row r="31" spans="40:54" x14ac:dyDescent="0.3">
      <c r="AN31" s="4">
        <f t="shared" si="2"/>
        <v>4060</v>
      </c>
      <c r="AO31">
        <v>25</v>
      </c>
      <c r="AP31" s="4" cm="1">
        <f t="array" ref="AP31">PQ2nits((2055+65*AO31)/(2055+31*65))</f>
        <v>4060.0310484963115</v>
      </c>
      <c r="AQ31" cm="1">
        <f t="array" ref="AQ31">ROUND(PQ2nits((20*$AO31)/(2055+31*65)),3)</f>
        <v>0.56599999999999995</v>
      </c>
    </row>
    <row r="32" spans="40:54" x14ac:dyDescent="0.3">
      <c r="AN32" s="4">
        <f t="shared" si="2"/>
        <v>4710</v>
      </c>
      <c r="AO32">
        <v>26</v>
      </c>
      <c r="AP32" s="4" cm="1">
        <f t="array" ref="AP32">PQ2nits((2055+65*AO32)/(2055+31*65))</f>
        <v>4710.3025909539483</v>
      </c>
      <c r="AQ32" cm="1">
        <f t="array" ref="AQ32">ROUND(PQ2nits((20*$AO32)/(2055+31*65)),3)</f>
        <v>0.63100000000000001</v>
      </c>
    </row>
    <row r="33" spans="40:43" x14ac:dyDescent="0.3">
      <c r="AN33" s="4">
        <f t="shared" si="2"/>
        <v>5467</v>
      </c>
      <c r="AO33">
        <v>27</v>
      </c>
      <c r="AP33" s="4" cm="1">
        <f t="array" ref="AP33">PQ2nits((2055+65*AO33)/(2055+31*65))</f>
        <v>5467.8779662038578</v>
      </c>
      <c r="AQ33" cm="1">
        <f t="array" ref="AQ33">ROUND(PQ2nits((20*$AO33)/(2055+31*65)),3)</f>
        <v>0.70199999999999996</v>
      </c>
    </row>
    <row r="34" spans="40:43" x14ac:dyDescent="0.3">
      <c r="AN34" s="4">
        <f t="shared" si="2"/>
        <v>6351</v>
      </c>
      <c r="AO34">
        <v>28</v>
      </c>
      <c r="AP34" s="4" cm="1">
        <f t="array" ref="AP34">PQ2nits((2055+65*AO34)/(2055+31*65))</f>
        <v>6351.3914286654081</v>
      </c>
      <c r="AQ34" cm="1">
        <f t="array" ref="AQ34">ROUND(PQ2nits((20*$AO34)/(2055+31*65)),3)</f>
        <v>0.77900000000000003</v>
      </c>
    </row>
    <row r="35" spans="40:43" x14ac:dyDescent="0.3">
      <c r="AN35" s="4">
        <f t="shared" si="2"/>
        <v>7382</v>
      </c>
      <c r="AO35">
        <v>29</v>
      </c>
      <c r="AP35" s="4" cm="1">
        <f t="array" ref="AP35">PQ2nits((2055+65*AO35)/(2055+31*65))</f>
        <v>7382.9315427440533</v>
      </c>
      <c r="AQ35" cm="1">
        <f t="array" ref="AQ35">ROUND(PQ2nits((20*$AO35)/(2055+31*65)),3)</f>
        <v>0.86199999999999999</v>
      </c>
    </row>
    <row r="36" spans="40:43" x14ac:dyDescent="0.3">
      <c r="AN36" s="4">
        <f t="shared" si="2"/>
        <v>8588</v>
      </c>
      <c r="AO36">
        <v>30</v>
      </c>
      <c r="AP36" s="4" cm="1">
        <f t="array" ref="AP36">PQ2nits((2055+65*AO36)/(2055+31*65))</f>
        <v>8588.7301910478836</v>
      </c>
      <c r="AQ36" cm="1">
        <f t="array" ref="AQ36">ROUND(PQ2nits((20*$AO36)/(2055+31*65)),3)</f>
        <v>0.95099999999999996</v>
      </c>
    </row>
    <row r="37" spans="40:43" x14ac:dyDescent="0.3">
      <c r="AN37" s="4">
        <f t="shared" si="2"/>
        <v>10000</v>
      </c>
      <c r="AO37">
        <v>31</v>
      </c>
      <c r="AP37" s="4" cm="1">
        <f t="array" ref="AP37">PQ2nits((2055+65*AO37)/(2055+31*65))</f>
        <v>10000</v>
      </c>
      <c r="AQ37" cm="1">
        <f t="array" ref="AQ37">ROUND(PQ2nits((20*$AO37)/(2055+31*65)),3)</f>
        <v>1.048</v>
      </c>
    </row>
    <row r="41" spans="40:43" x14ac:dyDescent="0.3">
      <c r="AP41" s="58"/>
      <c r="AQ41" s="58"/>
    </row>
    <row r="42" spans="40:43" x14ac:dyDescent="0.3">
      <c r="AP42" s="58"/>
      <c r="AQ42" s="58"/>
    </row>
    <row r="43" spans="40:43" x14ac:dyDescent="0.3">
      <c r="AP43" s="58"/>
      <c r="AQ43" s="58"/>
    </row>
    <row r="44" spans="40:43" x14ac:dyDescent="0.3">
      <c r="AP44" s="58"/>
      <c r="AQ44" s="58"/>
    </row>
    <row r="45" spans="40:43" x14ac:dyDescent="0.3">
      <c r="AP45" s="58"/>
      <c r="AQ45" s="58"/>
    </row>
    <row r="46" spans="40:43" x14ac:dyDescent="0.3">
      <c r="AP46" s="58"/>
      <c r="AQ46" s="58"/>
    </row>
    <row r="47" spans="40:43" x14ac:dyDescent="0.3">
      <c r="AP47" s="58"/>
      <c r="AQ47" s="58"/>
    </row>
    <row r="48" spans="40:43" x14ac:dyDescent="0.3">
      <c r="AP48" s="58"/>
      <c r="AQ48" s="58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$AN$5:$AN$37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$AU$16:$AU$18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$AQ$5:$AQ$37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2023-03-25T15:20:15Z</dcterms:modified>
</cp:coreProperties>
</file>