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SP12H21\"/>
    </mc:Choice>
  </mc:AlternateContent>
  <xr:revisionPtr revIDLastSave="0" documentId="13_ncr:1_{736387FF-0D13-4BF3-8F90-E6A6A6F1CCCB}" xr6:coauthVersionLast="47" xr6:coauthVersionMax="47" xr10:uidLastSave="{00000000-0000-0000-0000-000000000000}"/>
  <bookViews>
    <workbookView xWindow="276" yWindow="1601" windowWidth="40712" windowHeight="19676" firstSheet="2" activeTab="2" xr2:uid="{DE808AFE-8AFE-4111-8161-9EF8B03B2A2C}"/>
  </bookViews>
  <sheets>
    <sheet name="Patcher" sheetId="1" state="hidden" r:id="rId1"/>
    <sheet name="Custom DV" sheetId="5" state="hidden" r:id="rId2"/>
    <sheet name="Custom EDID-EZCOO" sheetId="6" r:id="rId3"/>
    <sheet name="Original EDID-EZCOO" sheetId="7" state="hidden" r:id="rId4"/>
  </sheets>
  <functionGroups builtInGroupCount="19"/>
  <definedNames>
    <definedName name="HDR10Plus">'Custom EDID-EZCOO'!$K$3</definedName>
    <definedName name="LS12000_Native">'Custom EDID-EZCOO'!$AU$23:$AU$24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6" l="1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AG20" i="6"/>
  <c r="Y22" i="6"/>
  <c r="X22" i="6"/>
  <c r="W22" i="6"/>
  <c r="AL21" i="6"/>
  <c r="AK21" i="6"/>
  <c r="AJ21" i="6"/>
  <c r="AI21" i="6"/>
  <c r="V25" i="6"/>
  <c r="V26" i="6" l="1"/>
  <c r="V26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G19" i="7" a="1"/>
  <c r="G28" i="7" a="1"/>
  <c r="G22" i="7" a="1"/>
  <c r="G23" i="7" a="1"/>
  <c r="G26" i="7" a="1"/>
  <c r="G18" i="7" a="1"/>
  <c r="G21" i="7" a="1"/>
  <c r="G15" i="7" a="1"/>
  <c r="G27" i="7" a="1"/>
  <c r="G25" i="7" a="1"/>
  <c r="G30" i="7" a="1"/>
  <c r="G20" i="7" a="1"/>
  <c r="G16" i="7" a="1"/>
  <c r="G29" i="7" a="1"/>
  <c r="G24" i="7" a="1"/>
  <c r="G14" i="7" a="1"/>
  <c r="G17" i="7" a="1"/>
  <c r="B23" i="6" l="1"/>
  <c r="B30" i="6"/>
  <c r="B29" i="6"/>
  <c r="G16" i="7"/>
  <c r="G20" i="7"/>
  <c r="G28" i="7"/>
  <c r="G14" i="7"/>
  <c r="G18" i="7"/>
  <c r="G22" i="7"/>
  <c r="G26" i="7"/>
  <c r="G30" i="7"/>
  <c r="G24" i="7"/>
  <c r="G15" i="7"/>
  <c r="G19" i="7"/>
  <c r="G23" i="7"/>
  <c r="G27" i="7"/>
  <c r="G17" i="7"/>
  <c r="G21" i="7"/>
  <c r="G25" i="7"/>
  <c r="G29" i="7"/>
  <c r="B27" i="6"/>
  <c r="B26" i="6"/>
  <c r="B25" i="6"/>
  <c r="B24" i="6"/>
  <c r="B22" i="6"/>
  <c r="B21" i="6"/>
  <c r="B20" i="6"/>
  <c r="B19" i="6"/>
  <c r="B18" i="6"/>
  <c r="B17" i="6"/>
  <c r="B16" i="6"/>
  <c r="B15" i="6"/>
  <c r="B14" i="6"/>
  <c r="T7" i="6" l="1"/>
  <c r="V25" i="7"/>
  <c r="Q8" i="7"/>
  <c r="Q5" i="7" s="1"/>
  <c r="AF27" i="7" s="1"/>
  <c r="P8" i="7"/>
  <c r="N8" i="7"/>
  <c r="M8" i="7"/>
  <c r="L8" i="7"/>
  <c r="I8" i="7"/>
  <c r="H8" i="7"/>
  <c r="F8" i="7"/>
  <c r="E8" i="7"/>
  <c r="T7" i="7"/>
  <c r="T8" i="7" s="1"/>
  <c r="S7" i="7"/>
  <c r="S8" i="7" s="1"/>
  <c r="S5" i="7" s="1"/>
  <c r="AG27" i="7" s="1"/>
  <c r="R7" i="7"/>
  <c r="R8" i="7" s="1"/>
  <c r="Q7" i="7"/>
  <c r="O7" i="7"/>
  <c r="O8" i="7" s="1"/>
  <c r="O5" i="7" s="1"/>
  <c r="AE27" i="7" s="1"/>
  <c r="M7" i="7"/>
  <c r="M5" i="7"/>
  <c r="AD27" i="7" s="1"/>
  <c r="C5" i="7"/>
  <c r="AA27" i="7" s="1"/>
  <c r="AP35" i="7" a="1"/>
  <c r="AQ24" i="7" a="1"/>
  <c r="AP11" i="7" a="1"/>
  <c r="AQ20" i="7" a="1"/>
  <c r="AQ33" i="7" a="1"/>
  <c r="AQ12" i="7" a="1"/>
  <c r="AP29" i="7" a="1"/>
  <c r="AQ22" i="7" a="1"/>
  <c r="AQ18" i="7" a="1"/>
  <c r="AQ14" i="7" a="1"/>
  <c r="AP13" i="7" a="1"/>
  <c r="AQ7" i="7" a="1"/>
  <c r="AP36" i="7" a="1"/>
  <c r="AP24" i="7" a="1"/>
  <c r="AQ29" i="7" a="1"/>
  <c r="AP17" i="7" a="1"/>
  <c r="AP34" i="7" a="1"/>
  <c r="AP28" i="7" a="1"/>
  <c r="AQ11" i="7" a="1"/>
  <c r="AQ27" i="7" a="1"/>
  <c r="AP27" i="7" a="1"/>
  <c r="AP16" i="7" a="1"/>
  <c r="AQ16" i="7" a="1"/>
  <c r="AQ23" i="7" a="1"/>
  <c r="AP31" i="7" a="1"/>
  <c r="AP18" i="7" a="1"/>
  <c r="AQ19" i="7" a="1"/>
  <c r="AQ15" i="7" a="1"/>
  <c r="AQ8" i="7" a="1"/>
  <c r="AP10" i="7" a="1"/>
  <c r="AQ31" i="7" a="1"/>
  <c r="AP19" i="7" a="1"/>
  <c r="AQ10" i="7" a="1"/>
  <c r="AP8" i="7" a="1"/>
  <c r="AQ28" i="7" a="1"/>
  <c r="AQ32" i="7" a="1"/>
  <c r="AQ26" i="7" a="1"/>
  <c r="AP9" i="7" a="1"/>
  <c r="AQ9" i="7" a="1"/>
  <c r="AP6" i="7" a="1"/>
  <c r="AP14" i="7" a="1"/>
  <c r="AQ13" i="7" a="1"/>
  <c r="AP5" i="7" a="1"/>
  <c r="AQ25" i="7" a="1"/>
  <c r="AQ36" i="7" a="1"/>
  <c r="AQ21" i="7" a="1"/>
  <c r="AQ30" i="7" a="1"/>
  <c r="AP12" i="7" a="1"/>
  <c r="AQ35" i="7" a="1"/>
  <c r="AQ34" i="7" a="1"/>
  <c r="AP32" i="7" a="1"/>
  <c r="AP30" i="7" a="1"/>
  <c r="AP25" i="7" a="1"/>
  <c r="AP23" i="7" a="1"/>
  <c r="AQ17" i="7" a="1"/>
  <c r="AP21" i="7" a="1"/>
  <c r="AQ6" i="7" a="1"/>
  <c r="AP15" i="7" a="1"/>
  <c r="AP26" i="7" a="1"/>
  <c r="AP22" i="7" a="1"/>
  <c r="AP33" i="7" a="1"/>
  <c r="AQ5" i="7" a="1"/>
  <c r="AP7" i="7" a="1"/>
  <c r="AP20" i="7" a="1"/>
  <c r="G30" i="6" a="1"/>
  <c r="G30" i="6" l="1"/>
  <c r="T8" i="6"/>
  <c r="AP11" i="7"/>
  <c r="AN11" i="7" s="1"/>
  <c r="AQ25" i="7"/>
  <c r="AQ6" i="7"/>
  <c r="AQ9" i="7"/>
  <c r="AQ12" i="7"/>
  <c r="AP5" i="7"/>
  <c r="AN5" i="7" s="1"/>
  <c r="AP14" i="7"/>
  <c r="AN14" i="7" s="1"/>
  <c r="AP16" i="7"/>
  <c r="AN16" i="7" s="1"/>
  <c r="AP18" i="7"/>
  <c r="AN18" i="7" s="1"/>
  <c r="AP21" i="7"/>
  <c r="AN21" i="7" s="1"/>
  <c r="AP23" i="7"/>
  <c r="AN23" i="7" s="1"/>
  <c r="AQ26" i="7"/>
  <c r="AP33" i="7"/>
  <c r="AN33" i="7" s="1"/>
  <c r="AP6" i="7"/>
  <c r="AN6" i="7" s="1"/>
  <c r="AP9" i="7"/>
  <c r="AN9" i="7" s="1"/>
  <c r="AQ11" i="7"/>
  <c r="AP12" i="7"/>
  <c r="AN12" i="7" s="1"/>
  <c r="AP25" i="7"/>
  <c r="AN25" i="7" s="1"/>
  <c r="AP27" i="7"/>
  <c r="AN27" i="7" s="1"/>
  <c r="AP28" i="7"/>
  <c r="AN28" i="7" s="1"/>
  <c r="AP29" i="7"/>
  <c r="AN29" i="7" s="1"/>
  <c r="AP30" i="7"/>
  <c r="AN30" i="7" s="1"/>
  <c r="AQ32" i="7"/>
  <c r="AP34" i="7"/>
  <c r="AN34" i="7" s="1"/>
  <c r="AQ36" i="7"/>
  <c r="AQ27" i="7"/>
  <c r="AQ28" i="7"/>
  <c r="AQ29" i="7"/>
  <c r="AQ30" i="7"/>
  <c r="AP32" i="7"/>
  <c r="AN32" i="7" s="1"/>
  <c r="AQ34" i="7"/>
  <c r="AP36" i="7"/>
  <c r="AN36" i="7" s="1"/>
  <c r="AP7" i="7"/>
  <c r="AN7" i="7" s="1"/>
  <c r="AP8" i="7"/>
  <c r="AN8" i="7" s="1"/>
  <c r="AQ10" i="7"/>
  <c r="AP13" i="7"/>
  <c r="AN13" i="7" s="1"/>
  <c r="AP15" i="7"/>
  <c r="AN15" i="7" s="1"/>
  <c r="AP17" i="7"/>
  <c r="AN17" i="7" s="1"/>
  <c r="AP19" i="7"/>
  <c r="AN19" i="7" s="1"/>
  <c r="AP20" i="7"/>
  <c r="AN20" i="7" s="1"/>
  <c r="AP22" i="7"/>
  <c r="AN22" i="7" s="1"/>
  <c r="AP24" i="7"/>
  <c r="AN24" i="7" s="1"/>
  <c r="AQ31" i="7"/>
  <c r="AQ35" i="7"/>
  <c r="AQ5" i="7"/>
  <c r="G8" i="7" s="1"/>
  <c r="G5" i="7" s="1"/>
  <c r="AQ7" i="7"/>
  <c r="AQ8" i="7"/>
  <c r="AP10" i="7"/>
  <c r="AN10" i="7" s="1"/>
  <c r="AQ13" i="7"/>
  <c r="AQ14" i="7"/>
  <c r="AQ15" i="7"/>
  <c r="AQ16" i="7"/>
  <c r="AQ17" i="7"/>
  <c r="AQ18" i="7"/>
  <c r="AQ19" i="7"/>
  <c r="AQ20" i="7"/>
  <c r="AQ21" i="7"/>
  <c r="AQ22" i="7"/>
  <c r="AQ23" i="7"/>
  <c r="AQ24" i="7"/>
  <c r="AP26" i="7"/>
  <c r="AN26" i="7" s="1"/>
  <c r="AP31" i="7"/>
  <c r="AN31" i="7" s="1"/>
  <c r="AQ33" i="7"/>
  <c r="AP35" i="7"/>
  <c r="AN35" i="7" s="1"/>
  <c r="AB27" i="7" l="1"/>
  <c r="J8" i="7"/>
  <c r="J5" i="7" s="1"/>
  <c r="AC27" i="7" s="1"/>
  <c r="C12" i="7" l="1"/>
  <c r="C13" i="7" a="1"/>
  <c r="C13" i="7" l="1"/>
  <c r="P8" i="6" l="1"/>
  <c r="N8" i="6"/>
  <c r="L8" i="6"/>
  <c r="I8" i="6"/>
  <c r="H8" i="6"/>
  <c r="F8" i="6"/>
  <c r="E8" i="6"/>
  <c r="S7" i="6"/>
  <c r="R7" i="6"/>
  <c r="Q7" i="6"/>
  <c r="O7" i="6"/>
  <c r="M7" i="6"/>
  <c r="P8" i="5"/>
  <c r="N8" i="5"/>
  <c r="T7" i="5"/>
  <c r="T8" i="5" s="1"/>
  <c r="S7" i="5"/>
  <c r="S8" i="5" s="1"/>
  <c r="R7" i="5"/>
  <c r="R8" i="5" s="1"/>
  <c r="Q7" i="5"/>
  <c r="Q8" i="5" s="1"/>
  <c r="O7" i="5"/>
  <c r="O8" i="5" s="1"/>
  <c r="M7" i="5"/>
  <c r="M8" i="5" s="1"/>
  <c r="AQ10" i="5" a="1"/>
  <c r="AP10" i="5" a="1"/>
  <c r="AP25" i="5" a="1"/>
  <c r="AQ7" i="5" a="1"/>
  <c r="AP8" i="5" a="1"/>
  <c r="AP5" i="5" a="1"/>
  <c r="AP17" i="5" a="1"/>
  <c r="AQ28" i="5" a="1"/>
  <c r="AP13" i="5" a="1"/>
  <c r="AQ34" i="5" a="1"/>
  <c r="AP7" i="5" a="1"/>
  <c r="AQ21" i="5" a="1"/>
  <c r="AP18" i="5" a="1"/>
  <c r="AP29" i="5" a="1"/>
  <c r="AP34" i="5" a="1"/>
  <c r="AQ9" i="5" a="1"/>
  <c r="AQ8" i="5" a="1"/>
  <c r="AQ24" i="5" a="1"/>
  <c r="AQ12" i="5" a="1"/>
  <c r="AP27" i="5" a="1"/>
  <c r="AP35" i="5" a="1"/>
  <c r="AP24" i="5" a="1"/>
  <c r="AP12" i="5" a="1"/>
  <c r="AQ5" i="5" a="1"/>
  <c r="AP31" i="5" a="1"/>
  <c r="AQ15" i="5" a="1"/>
  <c r="AP33" i="5" a="1"/>
  <c r="AP6" i="5" a="1"/>
  <c r="AP11" i="5" a="1"/>
  <c r="AQ17" i="5" a="1"/>
  <c r="AP32" i="5" a="1"/>
  <c r="AP20" i="5" a="1"/>
  <c r="AQ6" i="5" a="1"/>
  <c r="AQ13" i="5" a="1"/>
  <c r="AP19" i="5" a="1"/>
  <c r="AQ11" i="5" a="1"/>
  <c r="AQ30" i="5" a="1"/>
  <c r="AQ18" i="5" a="1"/>
  <c r="AQ22" i="5" a="1"/>
  <c r="AP15" i="5" a="1"/>
  <c r="AP14" i="5" a="1"/>
  <c r="AQ32" i="5" a="1"/>
  <c r="AQ23" i="5" a="1"/>
  <c r="AQ35" i="5" a="1"/>
  <c r="AP9" i="5" a="1"/>
  <c r="AQ26" i="5" a="1"/>
  <c r="AP30" i="5" a="1"/>
  <c r="AP21" i="5" a="1"/>
  <c r="AQ33" i="5" a="1"/>
  <c r="AQ19" i="5" a="1"/>
  <c r="AP26" i="5" a="1"/>
  <c r="AQ31" i="5" a="1"/>
  <c r="AQ29" i="5" a="1"/>
  <c r="AQ25" i="5" a="1"/>
  <c r="AQ20" i="5" a="1"/>
  <c r="AP22" i="5" a="1"/>
  <c r="AP16" i="5" a="1"/>
  <c r="AP36" i="5" a="1"/>
  <c r="AQ27" i="5" a="1"/>
  <c r="AQ14" i="5" a="1"/>
  <c r="AP23" i="5" a="1"/>
  <c r="AQ16" i="5" a="1"/>
  <c r="AP28" i="5" a="1"/>
  <c r="AQ36" i="5" a="1"/>
  <c r="AP23" i="6" a="1"/>
  <c r="AP24" i="6" a="1"/>
  <c r="AQ32" i="6" a="1"/>
  <c r="AP10" i="6" a="1"/>
  <c r="AQ23" i="6" a="1"/>
  <c r="AQ29" i="6" a="1"/>
  <c r="AQ22" i="6" a="1"/>
  <c r="AP29" i="6" a="1"/>
  <c r="AQ34" i="6" a="1"/>
  <c r="AP5" i="6" a="1"/>
  <c r="AP25" i="6" a="1"/>
  <c r="AQ20" i="6" a="1"/>
  <c r="AQ26" i="6" a="1"/>
  <c r="AQ35" i="6" a="1"/>
  <c r="AQ6" i="6" a="1"/>
  <c r="AQ11" i="6" a="1"/>
  <c r="AP33" i="6" a="1"/>
  <c r="AQ16" i="6" a="1"/>
  <c r="AQ13" i="6" a="1"/>
  <c r="AQ5" i="6" a="1"/>
  <c r="AQ14" i="6" a="1"/>
  <c r="AQ19" i="6" a="1"/>
  <c r="AP19" i="6" a="1"/>
  <c r="AP8" i="6" a="1"/>
  <c r="AQ33" i="6" a="1"/>
  <c r="AP18" i="6" a="1"/>
  <c r="AP15" i="6" a="1"/>
  <c r="AQ17" i="6" a="1"/>
  <c r="AQ31" i="6" a="1"/>
  <c r="AP17" i="6" a="1"/>
  <c r="AP9" i="6" a="1"/>
  <c r="AP14" i="6" a="1"/>
  <c r="AP11" i="6" a="1"/>
  <c r="AQ9" i="6" a="1"/>
  <c r="AP22" i="6" a="1"/>
  <c r="AQ30" i="6" a="1"/>
  <c r="AP20" i="6" a="1"/>
  <c r="AQ10" i="6" a="1"/>
  <c r="AP13" i="6" a="1"/>
  <c r="AQ15" i="6" a="1"/>
  <c r="AP35" i="6" a="1"/>
  <c r="AQ28" i="6" a="1"/>
  <c r="AP16" i="6" a="1"/>
  <c r="AP7" i="6" a="1"/>
  <c r="AP27" i="6" a="1"/>
  <c r="AP28" i="6" a="1"/>
  <c r="AP31" i="6" a="1"/>
  <c r="AP34" i="6" a="1"/>
  <c r="AP12" i="6" a="1"/>
  <c r="AP26" i="6" a="1"/>
  <c r="AP6" i="6" a="1"/>
  <c r="AQ12" i="6" a="1"/>
  <c r="AQ8" i="6" a="1"/>
  <c r="AQ24" i="6" a="1"/>
  <c r="AP36" i="6" a="1"/>
  <c r="AQ18" i="6" a="1"/>
  <c r="AQ36" i="6" a="1"/>
  <c r="AQ7" i="6" a="1"/>
  <c r="AP32" i="6" a="1"/>
  <c r="AP21" i="6" a="1"/>
  <c r="AQ21" i="6" a="1"/>
  <c r="AQ27" i="6" a="1"/>
  <c r="AP30" i="6" a="1"/>
  <c r="AQ25" i="6" a="1"/>
  <c r="G29" i="6" a="1"/>
  <c r="G26" i="6" a="1"/>
  <c r="G25" i="6" a="1"/>
  <c r="G24" i="6" a="1"/>
  <c r="G23" i="6" a="1"/>
  <c r="G22" i="6" a="1"/>
  <c r="G21" i="6" a="1"/>
  <c r="G20" i="6" a="1"/>
  <c r="G19" i="6" a="1"/>
  <c r="G18" i="6" a="1"/>
  <c r="G17" i="6" a="1"/>
  <c r="G16" i="6" a="1"/>
  <c r="G15" i="6" a="1"/>
  <c r="G14" i="6" a="1"/>
  <c r="M8" i="6" l="1"/>
  <c r="M5" i="6" s="1"/>
  <c r="O8" i="6"/>
  <c r="O5" i="6" s="1"/>
  <c r="Q8" i="6"/>
  <c r="S8" i="6"/>
  <c r="S5" i="6" s="1"/>
  <c r="R8" i="6"/>
  <c r="C5" i="6"/>
  <c r="AP5" i="6"/>
  <c r="AN5" i="6" s="1"/>
  <c r="G15" i="6"/>
  <c r="G19" i="6"/>
  <c r="G26" i="6"/>
  <c r="G16" i="6"/>
  <c r="G20" i="6"/>
  <c r="G17" i="6"/>
  <c r="G29" i="6"/>
  <c r="G14" i="6"/>
  <c r="G18" i="6"/>
  <c r="AQ8" i="6"/>
  <c r="AP10" i="6"/>
  <c r="AN10" i="6" s="1"/>
  <c r="AQ13" i="6"/>
  <c r="AQ14" i="6"/>
  <c r="AQ15" i="6"/>
  <c r="AQ16" i="6"/>
  <c r="AQ17" i="6"/>
  <c r="AQ18" i="6"/>
  <c r="AQ19" i="6"/>
  <c r="AQ25" i="6"/>
  <c r="AQ27" i="6"/>
  <c r="AQ28" i="6"/>
  <c r="AQ29" i="6"/>
  <c r="AQ30" i="6"/>
  <c r="AP32" i="6"/>
  <c r="AN32" i="6" s="1"/>
  <c r="AQ34" i="6"/>
  <c r="AP36" i="6"/>
  <c r="AN36" i="6" s="1"/>
  <c r="AP6" i="6"/>
  <c r="AN6" i="6" s="1"/>
  <c r="AQ5" i="6"/>
  <c r="G8" i="6" s="1"/>
  <c r="G5" i="6" s="1"/>
  <c r="AQ7" i="6"/>
  <c r="AQ6" i="6"/>
  <c r="AQ9" i="6"/>
  <c r="AP11" i="6"/>
  <c r="AN11" i="6" s="1"/>
  <c r="AQ12" i="6"/>
  <c r="AP20" i="6"/>
  <c r="AN20" i="6" s="1"/>
  <c r="AP21" i="6"/>
  <c r="AN21" i="6" s="1"/>
  <c r="AP22" i="6"/>
  <c r="AN22" i="6" s="1"/>
  <c r="AP23" i="6"/>
  <c r="AN23" i="6" s="1"/>
  <c r="AP24" i="6"/>
  <c r="AN24" i="6" s="1"/>
  <c r="AQ26" i="6"/>
  <c r="AQ31" i="6"/>
  <c r="AP33" i="6"/>
  <c r="AN33" i="6" s="1"/>
  <c r="AQ35" i="6"/>
  <c r="AP7" i="6"/>
  <c r="AN7" i="6" s="1"/>
  <c r="AP8" i="6"/>
  <c r="AN8" i="6" s="1"/>
  <c r="AQ10" i="6"/>
  <c r="AP13" i="6"/>
  <c r="AN13" i="6" s="1"/>
  <c r="AP14" i="6"/>
  <c r="AN14" i="6" s="1"/>
  <c r="AP15" i="6"/>
  <c r="AN15" i="6" s="1"/>
  <c r="AP16" i="6"/>
  <c r="AN16" i="6" s="1"/>
  <c r="AP17" i="6"/>
  <c r="AN17" i="6" s="1"/>
  <c r="AP18" i="6"/>
  <c r="AN18" i="6" s="1"/>
  <c r="AP19" i="6"/>
  <c r="AN19" i="6" s="1"/>
  <c r="G21" i="6"/>
  <c r="G22" i="6"/>
  <c r="G23" i="6"/>
  <c r="G24" i="6"/>
  <c r="G25" i="6"/>
  <c r="AP25" i="6"/>
  <c r="AN25" i="6" s="1"/>
  <c r="AP27" i="6"/>
  <c r="AN27" i="6" s="1"/>
  <c r="AP28" i="6"/>
  <c r="AN28" i="6" s="1"/>
  <c r="AP29" i="6"/>
  <c r="AN29" i="6" s="1"/>
  <c r="AP30" i="6"/>
  <c r="AN30" i="6" s="1"/>
  <c r="AQ32" i="6"/>
  <c r="AP34" i="6"/>
  <c r="AN34" i="6" s="1"/>
  <c r="AQ36" i="6"/>
  <c r="AP9" i="6"/>
  <c r="AN9" i="6" s="1"/>
  <c r="AQ11" i="6"/>
  <c r="AP12" i="6"/>
  <c r="AN12" i="6" s="1"/>
  <c r="AQ20" i="6"/>
  <c r="AQ21" i="6"/>
  <c r="AQ22" i="6"/>
  <c r="AQ23" i="6"/>
  <c r="AQ24" i="6"/>
  <c r="AP26" i="6"/>
  <c r="AN26" i="6" s="1"/>
  <c r="AP31" i="6"/>
  <c r="AN31" i="6" s="1"/>
  <c r="AQ33" i="6"/>
  <c r="AP35" i="6"/>
  <c r="AN35" i="6" s="1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Q5" i="6" l="1"/>
  <c r="AA27" i="6"/>
  <c r="AE27" i="6"/>
  <c r="AD27" i="6"/>
  <c r="AG27" i="6"/>
  <c r="AB27" i="6"/>
  <c r="J8" i="6"/>
  <c r="J5" i="6" s="1"/>
  <c r="L8" i="5"/>
  <c r="I8" i="5"/>
  <c r="H8" i="5"/>
  <c r="F8" i="5"/>
  <c r="E8" i="5"/>
  <c r="C5" i="5" s="1"/>
  <c r="S5" i="5"/>
  <c r="G5" i="5"/>
  <c r="AF27" i="6" l="1"/>
  <c r="AC27" i="6"/>
  <c r="C12" i="6"/>
  <c r="O5" i="5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C13" i="6" a="1"/>
  <c r="G27" i="6" a="1"/>
  <c r="B28" i="6" l="1"/>
  <c r="C13" i="6"/>
  <c r="G27" i="6"/>
  <c r="J8" i="5"/>
  <c r="J5" i="5" s="1"/>
  <c r="C12" i="5" s="1"/>
  <c r="C13" i="5" a="1"/>
  <c r="C14" i="5"/>
  <c r="G28" i="6" a="1"/>
  <c r="G28" i="6" l="1"/>
  <c r="C13" i="5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E7" i="1"/>
  <c r="AF6" i="1" a="1"/>
  <c r="AE6" i="1" a="1"/>
  <c r="H6" i="1" a="1"/>
  <c r="U6" i="1" a="1"/>
  <c r="D4" i="1" a="1"/>
  <c r="C4" i="1" a="1"/>
  <c r="R4" i="1" a="1"/>
  <c r="G6" i="1" a="1"/>
  <c r="F4" i="1" a="1"/>
  <c r="N7" i="1"/>
  <c r="H4" i="1" a="1"/>
  <c r="L6" i="1" a="1"/>
  <c r="AD6" i="1" a="1"/>
  <c r="C6" i="1" a="1"/>
  <c r="D7" i="1"/>
  <c r="Q6" i="1" a="1"/>
  <c r="X6" i="1" a="1"/>
  <c r="J6" i="1" a="1"/>
  <c r="T6" i="1" a="1"/>
  <c r="N6" i="1" a="1"/>
  <c r="O6" i="1" a="1"/>
  <c r="AH6" i="1" a="1"/>
  <c r="N4" i="1" a="1"/>
  <c r="V7" i="1"/>
  <c r="Y6" i="1" a="1"/>
  <c r="F7" i="1"/>
  <c r="Z4" i="1" a="1"/>
  <c r="R6" i="1" a="1"/>
  <c r="M6" i="1" a="1"/>
  <c r="AG6" i="1" a="1"/>
  <c r="V6" i="1" a="1"/>
  <c r="AA6" i="1" a="1"/>
  <c r="H7" i="1"/>
  <c r="S6" i="1" a="1"/>
  <c r="W6" i="1" a="1"/>
  <c r="P6" i="1" a="1"/>
  <c r="G4" i="1" a="1"/>
  <c r="G7" i="1"/>
  <c r="K6" i="1" a="1"/>
  <c r="C7" i="1"/>
  <c r="V4" i="1" a="1"/>
  <c r="F6" i="1" a="1"/>
  <c r="J7" i="1"/>
  <c r="AB6" i="1" a="1"/>
  <c r="Z6" i="1" a="1"/>
  <c r="D6" i="1" a="1"/>
  <c r="E6" i="1" a="1"/>
  <c r="I6" i="1" a="1"/>
  <c r="AC6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4" i="1" a="1"/>
  <c r="I7" i="1"/>
  <c r="AG7" i="1"/>
  <c r="Q4" i="1" a="1"/>
  <c r="L4" i="1" a="1"/>
  <c r="L7" i="1"/>
  <c r="Q7" i="1"/>
  <c r="K4" i="1" a="1"/>
  <c r="AD7" i="1"/>
  <c r="AB4" i="1" a="1"/>
  <c r="AH7" i="1"/>
  <c r="E4" i="1" a="1"/>
  <c r="AA7" i="1"/>
  <c r="AG4" i="1" a="1"/>
  <c r="S4" i="1" a="1"/>
  <c r="M4" i="1" a="1"/>
  <c r="O7" i="1"/>
  <c r="AB7" i="1"/>
  <c r="M7" i="1"/>
  <c r="W4" i="1" a="1"/>
  <c r="Z7" i="1"/>
  <c r="K7" i="1"/>
  <c r="X4" i="1" a="1"/>
  <c r="AC4" i="1" a="1"/>
  <c r="AF4" i="1" a="1"/>
  <c r="R7" i="1"/>
  <c r="AH4" i="1" a="1"/>
  <c r="J4" i="1" a="1"/>
  <c r="I4" i="1" a="1"/>
  <c r="W7" i="1"/>
  <c r="AE4" i="1" a="1"/>
  <c r="AA4" i="1" a="1"/>
  <c r="P7" i="1"/>
  <c r="O4" i="1" a="1"/>
  <c r="Y4" i="1" a="1"/>
  <c r="S7" i="1"/>
  <c r="Y7" i="1"/>
  <c r="U7" i="1"/>
  <c r="AF7" i="1"/>
  <c r="T7" i="1"/>
  <c r="AC7" i="1"/>
  <c r="T4" i="1" a="1"/>
  <c r="X7" i="1"/>
  <c r="AD4" i="1" a="1"/>
  <c r="P4" i="1" a="1"/>
  <c r="AE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<sst xmlns="http://schemas.openxmlformats.org/spreadsheetml/2006/main" count="849" uniqueCount="260">
  <si>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</si>
  <si>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</si>
  <si>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</si>
  <si>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</si>
  <si>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</si>
  <si>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</si>
  <si>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</si>
  <si>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</si>
  <si>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</si>
  <si>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</si>
  <si>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</si>
  <si>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</si>
  <si>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</si>
  <si>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</si>
  <si>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</si>
  <si>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</si>
  <si>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</si>
  <si>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</si>
  <si>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</si>
  <si>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</si>
  <si>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</si>
  <si>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</si>
  <si>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</si>
  <si>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</si>
  <si>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</si>
  <si>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</si>
  <si>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</si>
  <si>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</si>
  <si>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</si>
  <si>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</si>
  <si>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</si>
  <si>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</si>
  <si>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</si>
  <si>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</si>
  <si>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</si>
  <si>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</si>
  <si>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</si>
  <si>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</si>
  <si>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</si>
  <si>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</si>
  <si>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</si>
  <si>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</si>
  <si>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</si>
  <si>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</si>
  <si>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</si>
  <si>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</si>
  <si>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</si>
  <si>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</si>
  <si>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</si>
  <si>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</si>
  <si>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</si>
  <si>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</si>
  <si>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</si>
  <si>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</si>
  <si>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</si>
  <si>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</si>
  <si>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</si>
  <si>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</si>
  <si>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</si>
  <si>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</si>
  <si>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</si>
  <si>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</si>
  <si>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</si>
  <si>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</si>
  <si>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</si>
  <si>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</si>
  <si>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</si>
  <si>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</si>
  <si>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</si>
  <si>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Patch 8210</t>
  </si>
  <si>
    <t>C:\exes\gd32\EZ-EX11HAS-PRO_APP_DFU_GD32_Ver2.05(5416).hex</t>
  </si>
  <si>
    <t>LS12000 Native</t>
  </si>
  <si>
    <t>C:\exes\gd32\ezcoo_ex11has-pro_ls12000gamut_ML385.hex</t>
  </si>
  <si>
    <t>EDID</t>
  </si>
  <si>
    <t>Block 0</t>
  </si>
  <si>
    <t>34</t>
  </si>
  <si>
    <t>04</t>
  </si>
  <si>
    <t>19</t>
  </si>
  <si>
    <t>03</t>
  </si>
  <si>
    <t>80</t>
  </si>
  <si>
    <t>73</t>
  </si>
  <si>
    <t>41</t>
  </si>
  <si>
    <t>78</t>
  </si>
  <si>
    <t>74</t>
  </si>
  <si>
    <t>57</t>
  </si>
  <si>
    <t>23</t>
  </si>
  <si>
    <t>09</t>
  </si>
  <si>
    <t>48</t>
  </si>
  <si>
    <t>21</t>
  </si>
  <si>
    <t>08</t>
  </si>
  <si>
    <t>81</t>
  </si>
  <si>
    <t>45</t>
  </si>
  <si>
    <t>40</t>
  </si>
  <si>
    <t>61</t>
  </si>
  <si>
    <t>95</t>
  </si>
  <si>
    <t>30</t>
  </si>
  <si>
    <t>70</t>
  </si>
  <si>
    <t>58</t>
  </si>
  <si>
    <t>50</t>
  </si>
  <si>
    <t>02</t>
  </si>
  <si>
    <t>18</t>
  </si>
  <si>
    <t>71</t>
  </si>
  <si>
    <t>38</t>
  </si>
  <si>
    <t>43</t>
  </si>
  <si>
    <t>33</t>
  </si>
  <si>
    <t>20</t>
  </si>
  <si>
    <t>87</t>
  </si>
  <si>
    <t>Block 1</t>
  </si>
  <si>
    <t>53</t>
  </si>
  <si>
    <t>60</t>
  </si>
  <si>
    <t>65</t>
  </si>
  <si>
    <t>66</t>
  </si>
  <si>
    <t>05</t>
  </si>
  <si>
    <t>07</t>
  </si>
  <si>
    <t>12</t>
  </si>
  <si>
    <t>13</t>
  </si>
  <si>
    <t>14</t>
  </si>
  <si>
    <t>16</t>
  </si>
  <si>
    <t>22</t>
  </si>
  <si>
    <t>32</t>
  </si>
  <si>
    <t>15</t>
  </si>
  <si>
    <t>67</t>
  </si>
  <si>
    <t>83</t>
  </si>
  <si>
    <t>06</t>
  </si>
  <si>
    <t>eb</t>
  </si>
  <si>
    <t>46</t>
  </si>
  <si>
    <t>96</t>
  </si>
  <si>
    <t>EDID Analyzer</t>
  </si>
  <si>
    <t>EDID Decode (xs4all.nl)</t>
  </si>
  <si>
    <t>Old Size Dec</t>
  </si>
  <si>
    <t>New Size Hex</t>
  </si>
  <si>
    <t>D0</t>
  </si>
  <si>
    <t>0A</t>
  </si>
  <si>
    <t>8A</t>
  </si>
  <si>
    <t>2D</t>
  </si>
  <si>
    <t>C4</t>
  </si>
  <si>
    <t>8C</t>
  </si>
  <si>
    <t>E0</t>
  </si>
  <si>
    <t>3E</t>
  </si>
  <si>
    <t>8E</t>
  </si>
  <si>
    <t>84</t>
  </si>
  <si>
    <t>8b</t>
  </si>
  <si>
    <t>90</t>
  </si>
  <si>
    <t>Atmos String</t>
  </si>
  <si>
    <t>e6</t>
  </si>
  <si>
    <t>HDR10+ String</t>
  </si>
  <si>
    <t>e5</t>
  </si>
  <si>
    <t>C:\exes\ez_dv_edid_fw\EX11HAS-PRO\ezcoo_fw_LS12000 Native_ML447.hex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</si>
  <si>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</si>
  <si>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</si>
  <si>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</si>
  <si>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</si>
  <si>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</si>
  <si>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</si>
  <si>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</si>
  <si>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</si>
  <si>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</si>
  <si>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</si>
  <si>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</si>
  <si>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</si>
  <si>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</si>
  <si>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</si>
  <si>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</si>
  <si>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</si>
  <si>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</si>
  <si>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</si>
  <si>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</si>
  <si>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</si>
  <si>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</si>
  <si>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</si>
  <si>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5d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</si>
  <si>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</si>
  <si>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</si>
  <si>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</si>
  <si>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</si>
  <si>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</si>
  <si>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</si>
  <si>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</si>
  <si>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</si>
  <si>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</si>
  <si>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</si>
  <si>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</si>
  <si>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</si>
  <si>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c4</t>
  </si>
  <si>
    <t>d0</t>
  </si>
  <si>
    <t>26</t>
  </si>
  <si>
    <t>75</t>
  </si>
  <si>
    <t>5b</t>
  </si>
  <si>
    <t>6c</t>
  </si>
  <si>
    <t>8c</t>
  </si>
  <si>
    <t>e0</t>
  </si>
  <si>
    <t>3e</t>
  </si>
  <si>
    <t>8e</t>
  </si>
  <si>
    <t>e4</t>
  </si>
  <si>
    <t>:10814000FFFFFFFFFF0034A30100010000000419</t>
  </si>
  <si>
    <t>:108150000103807341780ACF74A3574CB0230948</t>
  </si>
  <si>
    <t>:108160004C210800818045406140950001010101</t>
  </si>
  <si>
    <t>:108170000101010108E80030F2705A80B0588A00</t>
  </si>
  <si>
    <t>:10818000501D7400001E023A801871382D40582C</t>
  </si>
  <si>
    <t>:108190004500501D7400001E000000FC004D4543</t>
  </si>
  <si>
    <t>:1081A0002D4F2D332D480A202020000000FD0018</t>
  </si>
  <si>
    <t>:1081B0004B0F873C000A20202020202001480203</t>
  </si>
  <si>
    <t>:1081C0005DF25361606566010304050710121314</t>
  </si>
  <si>
    <t>:1081D000161F20223F40320F7F073D1E50150750</t>
  </si>
  <si>
    <t>:1081E0005F7E01570701677E03835F0000E305C0</t>
  </si>
  <si>
    <t>:1081F000006E030C001000383C20808001020304</t>
  </si>
  <si>
    <t>:10820000E20F0F67D85DC401788003E3060501EB</t>
  </si>
  <si>
    <t>:108210000146D000260A0975805B6C8C0AD08A20</t>
  </si>
  <si>
    <t>:10822000E02D10103E9600C48E21000018000000</t>
  </si>
  <si>
    <t>:1082300000000000000000000000000000E400FF</t>
  </si>
  <si>
    <t>:10813000468F3300501D7400001E0000008600FF</t>
  </si>
  <si>
    <t>HDR10+:</t>
  </si>
  <si>
    <t>HDR10+</t>
  </si>
  <si>
    <t>Y</t>
  </si>
  <si>
    <t>N</t>
  </si>
  <si>
    <t>Post CTA-861</t>
  </si>
  <si>
    <t>(note that this EDID already had DV, need to add 12 more if DV string is added)</t>
  </si>
  <si>
    <t>0e</t>
  </si>
  <si>
    <t>76</t>
  </si>
  <si>
    <t>a8</t>
  </si>
  <si>
    <t>a0</t>
  </si>
  <si>
    <t>de</t>
  </si>
  <si>
    <t>54</t>
  </si>
  <si>
    <t>99</t>
  </si>
  <si>
    <t>63</t>
  </si>
  <si>
    <t>4e</t>
  </si>
  <si>
    <t>4a</t>
  </si>
  <si>
    <t>27</t>
  </si>
  <si>
    <t>f0</t>
  </si>
  <si>
    <t>db</t>
  </si>
  <si>
    <t>da</t>
  </si>
  <si>
    <t>5e</t>
  </si>
  <si>
    <t>62</t>
  </si>
  <si>
    <t>72</t>
  </si>
  <si>
    <t>b8</t>
  </si>
  <si>
    <t>44</t>
  </si>
  <si>
    <t>42</t>
  </si>
  <si>
    <t>68</t>
  </si>
  <si>
    <t>fb</t>
  </si>
  <si>
    <t>0d</t>
  </si>
  <si>
    <t>3b</t>
  </si>
  <si>
    <t>C:\exes\ez_dv_edid_fw\SW21HA21\ezcoo_sw21ha21_force_edid30.hex</t>
  </si>
  <si>
    <t>C:\exes\ez_dv_edid_fw\SW21HA21\ezcoo_sw21ha21_CS-LS12000 Native_ML-385_hdr10+_120hz.hex</t>
  </si>
  <si>
    <t>:10D880000000000000000000000000FFFFFFFFFF9D</t>
  </si>
  <si>
    <t>:10D89000FF0034A30100010000000419010380739C</t>
  </si>
  <si>
    <t>:10D8A00041780ACF74A3574CB02309484C21080093</t>
  </si>
  <si>
    <t>:10D8B00081804540614095000101010101010101A4</t>
  </si>
  <si>
    <t>:10D8C00008E80030F2705A80B0588A00501D740089</t>
  </si>
  <si>
    <t>:10D8D000001E023A801871382D40582C4500501D0A</t>
  </si>
  <si>
    <t>:10D8E0007400001E000000FC004D45432D522D34F5</t>
  </si>
  <si>
    <t>:10D8F0002D48560A2020000000FD0017790E883CB4</t>
  </si>
  <si>
    <t>:10D90000000A20202020202001E1020364F253615C</t>
  </si>
  <si>
    <t>:10D910006065667576010304050710121314161F5F</t>
  </si>
  <si>
    <t>:10D920002022320F7F073D1E501507505F7C07579E</t>
  </si>
  <si>
    <t>:10D930000701677E03835F0000E305C0006E030CF0</t>
  </si>
  <si>
    <t>:10D94000001000383C20808001020304E30FFF0731</t>
  </si>
  <si>
    <t>:10D950006DD85DC401788051033078000000E30683</t>
  </si>
  <si>
    <t>:10D960000501EB0146D000450B908660768F8C0A4E</t>
  </si>
  <si>
    <t>:10D97000D08A20E02D10103E9600C48E21000018A1</t>
  </si>
  <si>
    <t>:10D98000000000000000000000A0000000000000F7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</si>
</sst>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onsolas"/>
      <family val="3"/>
    </font>
    <font>
      <b/>
      <sz val="11"/>
      <color theme="4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2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0" borderId="0" xfId="0" applyFont="1"/>
    <xf numFmtId="0" fontId="0" fillId="0" borderId="2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27" xfId="0" applyFont="1" applyFill="1" applyBorder="1"/>
    <xf numFmtId="0" fontId="1" fillId="2" borderId="0" xfId="0" applyFont="1" applyFill="1" applyAlignment="1">
      <alignment horizontal="left"/>
    </xf>
    <xf numFmtId="49" fontId="2" fillId="0" borderId="0" xfId="0" applyNumberFormat="1" applyFont="1"/>
    <xf numFmtId="0" fontId="0" fillId="0" borderId="0" xfId="0" applyAlignment="1">
      <alignment horizontal="left"/>
    </xf>
    <xf numFmtId="0" fontId="4" fillId="0" borderId="0" xfId="1"/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0" fillId="0" borderId="23" xfId="0" applyBorder="1" applyAlignment="1" applyProtection="1">
      <alignment horizontal="center"/>
      <protection locked="0"/>
    </xf>
    <xf numFmtId="0" fontId="0" fillId="2" borderId="35" xfId="0" applyFill="1" applyBorder="1" applyAlignment="1">
      <alignment horizontal="center"/>
    </xf>
    <xf numFmtId="0" fontId="5" fillId="0" borderId="0" xfId="0" applyFont="1" applyAlignment="1">
      <alignment horizontal="left"/>
    </xf>
    <xf numFmtId="0" fontId="1" fillId="2" borderId="36" xfId="0" applyFont="1" applyFill="1" applyBorder="1" applyAlignment="1">
      <alignment horizontal="left"/>
    </xf>
    <xf numFmtId="49" fontId="6" fillId="0" borderId="0" xfId="0" applyNumberFormat="1" applyFont="1"/>
    <xf numFmtId="0" fontId="6" fillId="0" borderId="0" xfId="0" applyFont="1"/>
    <xf numFmtId="49" fontId="7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0" fontId="7" fillId="0" borderId="0" xfId="0" applyFont="1" applyAlignment="1">
      <alignment horizontal="left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5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3BB8DFBC-A97B-4AC4-8C74-613870E9C0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85DEE5-3E4D-49C5-A368-86AC8A90AD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0583F2-7DAD-4D7E-BA94-514E96E83E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C-47C3-A47E-116220FB33EF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9D2D6A65-7078-43F1-B58C-95C59C52BA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'Custom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CBFC-47C3-A47E-116220FB33EF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7D07D94-1804-4A55-8A82-98D6847305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6D7F6E-78E4-4E7C-9AAA-859C9C7A87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C644B6-51EE-44C4-8B74-DA2D35A0A9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C-47C3-A47E-116220FB33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5C0064-BC9F-418D-BA33-D3AD1D3469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'Custom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CBFC-47C3-A47E-116220FB33EF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74ECFA0E-2751-4539-A086-BE3E7B849E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D5D4CB-1BA5-428D-A888-063A5BBDC3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C-47C3-A47E-116220FB33EF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59837368-2355-4BFE-BA61-B151B00DE4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CBFC-47C3-A47E-116220FB33EF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366C0309-B67E-41E6-A7BB-10DEE15D3E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'Custom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CBFC-47C3-A47E-116220FB33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42366F52-3E5D-4269-9681-18F2276BA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880D9B-A777-42D3-91A1-2733832FCB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0D14F-6263-4A04-AA0F-AEEA487B54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B2-4B84-BF11-4BF1142CD732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0DA7ECF5-95FF-48F2-925A-FD7C558B84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'Original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93B2-4B84-BF11-4BF1142CD732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00C488-9B4D-477D-A619-B09AA6C930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A67AAD-A8E8-43BD-8231-FB6C38BA18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6AEA82-A0D5-434A-9ABD-D53D094DFC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B2-4B84-BF11-4BF1142CD7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E85AF0-0D41-40CE-87B6-524448DE8C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'Original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93B2-4B84-BF11-4BF1142CD732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C9467FDD-CD8B-4615-8D73-EC398CC720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EF00E0-2291-46AB-8A15-3398B8CA0D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B2-4B84-BF11-4BF1142CD732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544AA931-94A2-4469-8B07-87FDFE23E2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3B2-4B84-BF11-4BF1142CD732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076B5BFC-57EA-4119-A268-F54DCEBA1D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'Original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93B2-4B84-BF11-4BF1142CD7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C36" sqref="C36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9" max="9" width="14.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9" t="str">
        <f>DEC2HEX(_xlfn.BITLSHIFT(BIN2DEC(C8),5)+_xlfn.BITLSHIFT(BIN2DEC(D8),2)+_xlfn.BITLSHIFT(BIN2DEC(E8),1)+BIN2DEC(F8))</f>
        <v>45</v>
      </c>
      <c r="D5" s="89"/>
      <c r="E5" s="89"/>
      <c r="F5" s="90"/>
      <c r="G5" s="91" t="str">
        <f>DEC2HEX(_xlfn.BITLSHIFT(BIN2DEC(G8),3)+_xlfn.BITLSHIFT(BIN2DEC(H8),2)+BIN2DEC(I8),2)</f>
        <v>03</v>
      </c>
      <c r="H5" s="87"/>
      <c r="I5" s="88"/>
      <c r="J5" s="91" t="str">
        <f>DEC2HEX(_xlfn.BITLSHIFT(BIN2DEC(J8),3)+_xlfn.BITLSHIFT(BIN2DEC(K8),1)+BIN2DEC(L8),2)</f>
        <v>48</v>
      </c>
      <c r="K5" s="87"/>
      <c r="L5" s="88"/>
      <c r="M5" s="87" t="str">
        <f>BIN2HEX(_xlfn.CONCAT(M8,N8),2)</f>
        <v>A1</v>
      </c>
      <c r="N5" s="88"/>
      <c r="O5" s="87" t="str">
        <f>BIN2HEX(_xlfn.CONCAT(O8,P8),2)</f>
        <v>58</v>
      </c>
      <c r="P5" s="88"/>
      <c r="Q5" s="87" t="str">
        <f>BIN2HEX(_xlfn.CONCAT(Q8,R8),2)</f>
        <v>55</v>
      </c>
      <c r="R5" s="88"/>
      <c r="S5" s="87" t="str">
        <f>BIN2HEX(_xlfn.CONCAT(S8,T8),2)</f>
        <v>A2</v>
      </c>
      <c r="T5" s="88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72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EB0146D000450348A15855A2</v>
      </c>
      <c r="D12" s="50"/>
      <c r="E12" s="50"/>
      <c r="F12" s="50"/>
      <c r="G12" s="50"/>
      <c r="H12" s="50"/>
      <c r="I12" s="50"/>
      <c r="J12" s="51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60" t="s">
        <v>69</v>
      </c>
      <c r="C14" s="43" t="str">
        <f>_xlfn.CONCAT(":10821000", RIGHT($C$12,22), "8C0AD08A20",IntelHexChecksum(_xlfn.CONCAT("10821000", RIGHT($C$12,22), "8C0AD08A20")))</f>
        <v>:108210000146D000450348A15855A28C0AD08A20B7</v>
      </c>
      <c r="D14" s="44"/>
      <c r="E14" s="44"/>
      <c r="F14" s="44"/>
      <c r="G14" s="44"/>
      <c r="H14" s="44"/>
      <c r="I14" s="44"/>
      <c r="J14" s="45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59"/>
      <c r="AQ40" s="59"/>
    </row>
    <row r="41" spans="40:43" x14ac:dyDescent="0.3">
      <c r="AP41" s="59"/>
      <c r="AQ41" s="59"/>
    </row>
    <row r="42" spans="40:43" x14ac:dyDescent="0.3">
      <c r="AP42" s="59"/>
      <c r="AQ42" s="59"/>
    </row>
    <row r="43" spans="40:43" x14ac:dyDescent="0.3">
      <c r="AP43" s="59"/>
      <c r="AQ43" s="59"/>
    </row>
    <row r="44" spans="40:43" x14ac:dyDescent="0.3">
      <c r="AP44" s="59"/>
      <c r="AQ44" s="59"/>
    </row>
    <row r="45" spans="40:43" x14ac:dyDescent="0.3">
      <c r="AP45" s="59"/>
      <c r="AQ45" s="59"/>
    </row>
    <row r="46" spans="40:43" x14ac:dyDescent="0.3">
      <c r="AP46" s="59"/>
      <c r="AQ46" s="59"/>
    </row>
    <row r="47" spans="40:43" x14ac:dyDescent="0.3">
      <c r="AP47" s="59"/>
      <c r="AQ47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4" priority="8">
      <formula>$E$7="Not Supported"</formula>
    </cfRule>
  </conditionalFormatting>
  <conditionalFormatting sqref="P7">
    <cfRule type="expression" dxfId="13" priority="4">
      <formula>$N$7="Supported"</formula>
    </cfRule>
  </conditionalFormatting>
  <conditionalFormatting sqref="P7">
    <cfRule type="expression" dxfId="12" priority="3" stopIfTrue="1">
      <formula>IF(AND($N$7="Supported",$P$7="Supported"),TRUE,FALSE)</formula>
    </cfRule>
  </conditionalFormatting>
  <conditionalFormatting sqref="N7">
    <cfRule type="expression" dxfId="11" priority="2">
      <formula>$P$7="Supported"</formula>
    </cfRule>
  </conditionalFormatting>
  <conditionalFormatting sqref="N7">
    <cfRule type="expression" dxfId="1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P7 N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  <dataValidation type="list" allowBlank="1" showInputMessage="1" showErrorMessage="1" sqref="I3" xr:uid="{768973E7-3241-46A1-8F1C-8B62AAAFF378}">
      <formula1>$AU$15:$AU$18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CB04-BE28-4004-9EF1-04640547F9E7}">
  <sheetPr codeName="Sheet17"/>
  <dimension ref="B2:BC54"/>
  <sheetViews>
    <sheetView tabSelected="1" topLeftCell="A8" zoomScale="85" zoomScaleNormal="85" workbookViewId="0">
      <selection activeCell="E45" sqref="E45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J3" s="32" t="s">
        <v>211</v>
      </c>
      <c r="K3" s="77" t="s">
        <v>213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9" t="str">
        <f>DEC2HEX(_xlfn.BITLSHIFT(BIN2DEC(C8),5)+_xlfn.BITLSHIFT(BIN2DEC(D8),2)+_xlfn.BITLSHIFT(BIN2DEC(E8),1)+BIN2DEC(F8))</f>
        <v>49</v>
      </c>
      <c r="D5" s="89"/>
      <c r="E5" s="89"/>
      <c r="F5" s="90"/>
      <c r="G5" s="91" t="str">
        <f>DEC2HEX(_xlfn.BITLSHIFT(BIN2DEC(G8),3)+_xlfn.BITLSHIFT(BIN2DEC(H8),2)+BIN2DEC(I8),2)</f>
        <v>03</v>
      </c>
      <c r="H5" s="87"/>
      <c r="I5" s="88"/>
      <c r="J5" s="91" t="str">
        <f>DEC2HEX(_xlfn.BITLSHIFT(BIN2DEC(J8),3)+_xlfn.BITLSHIFT(BIN2DEC(K8),1)+BIN2DEC(L8),2)</f>
        <v>48</v>
      </c>
      <c r="K5" s="87"/>
      <c r="L5" s="88"/>
      <c r="M5" s="87" t="str">
        <f>BIN2HEX(_xlfn.CONCAT(M8,N8),2)</f>
        <v>A1</v>
      </c>
      <c r="N5" s="88"/>
      <c r="O5" s="87" t="str">
        <f>BIN2HEX(_xlfn.CONCAT(O8,P8),2)</f>
        <v>58</v>
      </c>
      <c r="P5" s="88"/>
      <c r="Q5" s="87" t="str">
        <f>BIN2HEX(_xlfn.CONCAT(Q8,R8),2)</f>
        <v>55</v>
      </c>
      <c r="R5" s="88"/>
      <c r="S5" s="87" t="str">
        <f>BIN2HEX(_xlfn.CONCAT(S8,T8),2)</f>
        <v>A2</v>
      </c>
      <c r="T5" s="88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148</v>
      </c>
      <c r="Y7" s="59" t="s">
        <v>148</v>
      </c>
      <c r="Z7" s="59" t="s">
        <v>148</v>
      </c>
      <c r="AA7" s="59" t="s">
        <v>148</v>
      </c>
      <c r="AB7" s="59" t="s">
        <v>148</v>
      </c>
      <c r="AC7" s="59" t="s">
        <v>148</v>
      </c>
      <c r="AD7" s="59" t="s">
        <v>7</v>
      </c>
      <c r="AE7" s="59" t="s">
        <v>152</v>
      </c>
      <c r="AF7" s="59" t="s">
        <v>149</v>
      </c>
      <c r="AG7" s="59" t="s">
        <v>29</v>
      </c>
      <c r="AH7" s="59" t="s">
        <v>219</v>
      </c>
      <c r="AI7" s="59" t="s">
        <v>6</v>
      </c>
      <c r="AJ7" s="59" t="s">
        <v>6</v>
      </c>
      <c r="AK7" s="59" t="s">
        <v>6</v>
      </c>
      <c r="AL7" s="59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0" t="str">
        <f>DEC2BIN($M$7*256,7)</f>
        <v>1010000</v>
      </c>
      <c r="N8" s="18">
        <f>IF(AND(EXACT(N7,"Supported"),EXACT(P7,"Not Supported")),1,0)</f>
        <v>1</v>
      </c>
      <c r="O8" s="26" t="str">
        <f>DEC2BIN(($O$7-0.5)*256,7)</f>
        <v>0101100</v>
      </c>
      <c r="P8" s="78">
        <f>IF(AND(EXACT(P7,"Supported"),EXACT(N7,"Not Supported")),1,0)</f>
        <v>0</v>
      </c>
      <c r="Q8" s="26" t="str">
        <f>DEC2BIN(($Q$7-0.625)*256,5)</f>
        <v>01010</v>
      </c>
      <c r="R8" s="78" t="str">
        <f>DEC2BIN(($R$7-0.125)*256,3)</f>
        <v>101</v>
      </c>
      <c r="S8" s="26" t="str">
        <f>DEC2BIN(($S$7-0.25)*256,5)</f>
        <v>10100</v>
      </c>
      <c r="T8" s="18" t="str">
        <f>DEC2BIN(($T$7-0.03125)*256,3)</f>
        <v>010</v>
      </c>
      <c r="V8" s="59"/>
      <c r="W8" s="59" t="s">
        <v>171</v>
      </c>
      <c r="X8" s="59" t="s">
        <v>171</v>
      </c>
      <c r="Y8" s="59" t="s">
        <v>6</v>
      </c>
      <c r="Z8" s="59" t="s">
        <v>78</v>
      </c>
      <c r="AA8" s="59" t="s">
        <v>79</v>
      </c>
      <c r="AB8" s="59" t="s">
        <v>220</v>
      </c>
      <c r="AC8" s="59" t="s">
        <v>156</v>
      </c>
      <c r="AD8" s="59" t="s">
        <v>82</v>
      </c>
      <c r="AE8" s="59" t="s">
        <v>217</v>
      </c>
      <c r="AF8" s="59" t="s">
        <v>221</v>
      </c>
      <c r="AG8" s="59" t="s">
        <v>98</v>
      </c>
      <c r="AH8" s="59" t="s">
        <v>149</v>
      </c>
      <c r="AI8" s="59" t="s">
        <v>222</v>
      </c>
      <c r="AJ8" s="59" t="s">
        <v>152</v>
      </c>
      <c r="AK8" s="59" t="s">
        <v>223</v>
      </c>
      <c r="AL8" s="59" t="s">
        <v>185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168</v>
      </c>
      <c r="X9" s="59" t="s">
        <v>98</v>
      </c>
      <c r="Y9" s="59" t="s">
        <v>222</v>
      </c>
      <c r="Z9" s="59" t="s">
        <v>105</v>
      </c>
      <c r="AA9" s="59" t="s">
        <v>7</v>
      </c>
      <c r="AB9" s="59" t="s">
        <v>7</v>
      </c>
      <c r="AC9" s="59" t="s">
        <v>6</v>
      </c>
      <c r="AD9" s="59" t="s">
        <v>6</v>
      </c>
      <c r="AE9" s="59" t="s">
        <v>6</v>
      </c>
      <c r="AF9" s="59" t="s">
        <v>6</v>
      </c>
      <c r="AG9" s="59" t="s">
        <v>6</v>
      </c>
      <c r="AH9" s="59" t="s">
        <v>6</v>
      </c>
      <c r="AI9" s="59" t="s">
        <v>6</v>
      </c>
      <c r="AJ9" s="59" t="s">
        <v>6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241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154</v>
      </c>
      <c r="AE10" s="59" t="s">
        <v>7</v>
      </c>
      <c r="AF10" s="59" t="s">
        <v>95</v>
      </c>
      <c r="AG10" s="59" t="s">
        <v>155</v>
      </c>
      <c r="AH10" s="59" t="s">
        <v>96</v>
      </c>
      <c r="AI10" s="59" t="s">
        <v>156</v>
      </c>
      <c r="AJ10" s="59" t="s">
        <v>79</v>
      </c>
      <c r="AK10" s="59" t="s">
        <v>153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242</v>
      </c>
      <c r="J11" s="40"/>
      <c r="V11" s="59"/>
      <c r="W11" s="59" t="s">
        <v>157</v>
      </c>
      <c r="X11" s="59" t="s">
        <v>7</v>
      </c>
      <c r="Y11" s="59" t="s">
        <v>92</v>
      </c>
      <c r="Z11" s="59" t="s">
        <v>140</v>
      </c>
      <c r="AA11" s="59" t="s">
        <v>224</v>
      </c>
      <c r="AB11" s="59" t="s">
        <v>7</v>
      </c>
      <c r="AC11" s="59" t="s">
        <v>7</v>
      </c>
      <c r="AD11" s="59" t="s">
        <v>159</v>
      </c>
      <c r="AE11" s="59" t="s">
        <v>99</v>
      </c>
      <c r="AF11" s="59" t="s">
        <v>160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161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EB0146D000490348A15855A2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162</v>
      </c>
      <c r="Y12" s="59" t="s">
        <v>91</v>
      </c>
      <c r="Z12" s="59" t="s">
        <v>7</v>
      </c>
      <c r="AA12" s="59" t="s">
        <v>92</v>
      </c>
      <c r="AB12" s="59" t="s">
        <v>140</v>
      </c>
      <c r="AC12" s="59" t="s">
        <v>224</v>
      </c>
      <c r="AD12" s="59" t="s">
        <v>7</v>
      </c>
      <c r="AE12" s="59" t="s">
        <v>7</v>
      </c>
      <c r="AF12" s="59" t="s">
        <v>159</v>
      </c>
      <c r="AG12" s="59" t="s">
        <v>7</v>
      </c>
      <c r="AH12" s="59" t="s">
        <v>7</v>
      </c>
      <c r="AI12" s="59" t="s">
        <v>7</v>
      </c>
      <c r="AJ12" s="59" t="s">
        <v>166</v>
      </c>
      <c r="AK12" s="59" t="s">
        <v>7</v>
      </c>
      <c r="AL12" s="59" t="s">
        <v>100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54</v>
      </c>
      <c r="D13" s="36"/>
      <c r="E13" s="36"/>
      <c r="F13" s="36"/>
      <c r="G13" s="36"/>
      <c r="H13" s="36"/>
      <c r="I13" s="36"/>
      <c r="J13" s="41"/>
      <c r="V13" s="59"/>
      <c r="W13" s="59" t="s">
        <v>169</v>
      </c>
      <c r="X13" s="59" t="s">
        <v>168</v>
      </c>
      <c r="Y13" s="59" t="s">
        <v>106</v>
      </c>
      <c r="Z13" s="59" t="s">
        <v>169</v>
      </c>
      <c r="AA13" s="59" t="s">
        <v>7</v>
      </c>
      <c r="AB13" s="59" t="s">
        <v>150</v>
      </c>
      <c r="AC13" s="59" t="s">
        <v>105</v>
      </c>
      <c r="AD13" s="59" t="s">
        <v>105</v>
      </c>
      <c r="AE13" s="59" t="s">
        <v>105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163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D880</v>
      </c>
      <c r="C14" s="68" t="str">
        <f>_xlfn.CONCAT(":10D88000","00000000000000000000",$W$7:$AB$7)</f>
        <v>:10D880000000000000000000000000ffffffffff</v>
      </c>
      <c r="D14" s="36"/>
      <c r="E14" s="36"/>
      <c r="F14" s="36"/>
      <c r="G14" s="36" t="str" cm="1">
        <f t="array" ref="G14">IntelHexChecksum(RIGHT(C14,40))</f>
        <v>9D</v>
      </c>
      <c r="H14" s="36"/>
      <c r="I14" s="36"/>
      <c r="J14" s="41"/>
      <c r="V14" s="59"/>
      <c r="W14" s="59" t="s">
        <v>7</v>
      </c>
      <c r="X14" s="59" t="s">
        <v>91</v>
      </c>
      <c r="Y14" s="59" t="s">
        <v>98</v>
      </c>
      <c r="Z14" s="59" t="s">
        <v>108</v>
      </c>
      <c r="AA14" s="59" t="s">
        <v>165</v>
      </c>
      <c r="AB14" s="59" t="s">
        <v>225</v>
      </c>
      <c r="AC14" s="59" t="s">
        <v>105</v>
      </c>
      <c r="AD14" s="59" t="s">
        <v>98</v>
      </c>
      <c r="AE14" s="59" t="s">
        <v>226</v>
      </c>
      <c r="AF14" s="59" t="s">
        <v>150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227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D890</v>
      </c>
      <c r="C15" s="68" t="str">
        <f>_xlfn.CONCAT(":10D89000",$AC7:$AL7,$W8:$AB8)</f>
        <v>:10D89000ff004ca311a8010101011f1f010380a0</v>
      </c>
      <c r="D15" s="36"/>
      <c r="E15" s="36"/>
      <c r="F15" s="36"/>
      <c r="G15" s="36" t="str" cm="1">
        <f t="array" ref="G15">IntelHexChecksum(RIGHT(C15,40))</f>
        <v>7B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9" t="s">
        <v>80</v>
      </c>
      <c r="Z15" s="59" t="s">
        <v>228</v>
      </c>
      <c r="AA15" s="59" t="s">
        <v>187</v>
      </c>
      <c r="AB15" s="59" t="s">
        <v>218</v>
      </c>
      <c r="AC15" s="59" t="s">
        <v>186</v>
      </c>
      <c r="AD15" s="59" t="s">
        <v>229</v>
      </c>
      <c r="AE15" s="59" t="s">
        <v>230</v>
      </c>
      <c r="AF15" s="59" t="s">
        <v>93</v>
      </c>
      <c r="AG15" s="59" t="s">
        <v>109</v>
      </c>
      <c r="AH15" s="59" t="s">
        <v>111</v>
      </c>
      <c r="AI15" s="59" t="s">
        <v>110</v>
      </c>
      <c r="AJ15" s="59" t="s">
        <v>175</v>
      </c>
      <c r="AK15" s="59" t="s">
        <v>231</v>
      </c>
      <c r="AL15" s="59" t="s">
        <v>170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D8A0</v>
      </c>
      <c r="C16" s="68" t="str">
        <f>_xlfn.CONCAT(":10D8A000",$AC8:$AL8,$W9:$AB9)</f>
        <v>:10D8A0005a780ede50a3544c99260f5054200000</v>
      </c>
      <c r="D16" s="36"/>
      <c r="E16" s="36"/>
      <c r="F16" s="36"/>
      <c r="G16" s="36" t="str" cm="1">
        <f t="array" ref="G16">IntelHexChecksum(RIGHT(C16,40))</f>
        <v>95</v>
      </c>
      <c r="H16" s="36"/>
      <c r="I16" s="36"/>
      <c r="J16" s="41"/>
      <c r="V16" s="59"/>
      <c r="W16" s="59" t="s">
        <v>232</v>
      </c>
      <c r="X16" s="59" t="s">
        <v>172</v>
      </c>
      <c r="Y16" s="59" t="s">
        <v>92</v>
      </c>
      <c r="Z16" s="59" t="s">
        <v>28</v>
      </c>
      <c r="AA16" s="59" t="s">
        <v>171</v>
      </c>
      <c r="AB16" s="59" t="s">
        <v>118</v>
      </c>
      <c r="AC16" s="59" t="s">
        <v>105</v>
      </c>
      <c r="AD16" s="59" t="s">
        <v>112</v>
      </c>
      <c r="AE16" s="59" t="s">
        <v>116</v>
      </c>
      <c r="AF16" s="59" t="s">
        <v>76</v>
      </c>
      <c r="AG16" s="59" t="s">
        <v>115</v>
      </c>
      <c r="AH16" s="59" t="s">
        <v>114</v>
      </c>
      <c r="AI16" s="59" t="s">
        <v>29</v>
      </c>
      <c r="AJ16" s="59" t="s">
        <v>78</v>
      </c>
      <c r="AK16" s="59" t="s">
        <v>99</v>
      </c>
      <c r="AL16" s="59" t="s">
        <v>6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D8B0</v>
      </c>
      <c r="C17" s="68" t="str">
        <f>_xlfn.CONCAT(":10D8B000",$AC9:$AL9,$W10:$AB10)</f>
        <v>:10D8B00001010101010101010101010101010101</v>
      </c>
      <c r="D17" s="36"/>
      <c r="E17" s="36"/>
      <c r="F17" s="36"/>
      <c r="G17" s="36" t="str" cm="1">
        <f t="array" ref="G17">IntelHexChecksum(RIGHT(C17,40))</f>
        <v>58</v>
      </c>
      <c r="H17" s="36"/>
      <c r="I17" s="36"/>
      <c r="J17" s="41"/>
      <c r="V17" s="59"/>
      <c r="W17" s="59" t="s">
        <v>119</v>
      </c>
      <c r="X17" s="59" t="s">
        <v>168</v>
      </c>
      <c r="Y17" s="59" t="s">
        <v>173</v>
      </c>
      <c r="Z17" s="59" t="s">
        <v>113</v>
      </c>
      <c r="AA17" s="59" t="s">
        <v>174</v>
      </c>
      <c r="AB17" s="59" t="s">
        <v>159</v>
      </c>
      <c r="AC17" s="59" t="s">
        <v>98</v>
      </c>
      <c r="AD17" s="59" t="s">
        <v>120</v>
      </c>
      <c r="AE17" s="59" t="s">
        <v>113</v>
      </c>
      <c r="AF17" s="59" t="s">
        <v>98</v>
      </c>
      <c r="AG17" s="59" t="s">
        <v>175</v>
      </c>
      <c r="AH17" s="59" t="s">
        <v>176</v>
      </c>
      <c r="AI17" s="59" t="s">
        <v>6</v>
      </c>
      <c r="AJ17" s="59" t="s">
        <v>84</v>
      </c>
      <c r="AK17" s="59" t="s">
        <v>113</v>
      </c>
      <c r="AL17" s="59" t="s">
        <v>6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D8C0</v>
      </c>
      <c r="C18" s="68" t="str">
        <f>_xlfn.CONCAT(":10D8C000",$AC10:$AL10,$W11:$AB11)</f>
        <v>:10D8C00008e80030f2705a80b0588a0040846300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59"/>
      <c r="W18" s="59" t="s">
        <v>121</v>
      </c>
      <c r="X18" s="59" t="s">
        <v>176</v>
      </c>
      <c r="Y18" s="59" t="s">
        <v>78</v>
      </c>
      <c r="Z18" s="59" t="s">
        <v>233</v>
      </c>
      <c r="AA18" s="59" t="s">
        <v>78</v>
      </c>
      <c r="AB18" s="59" t="s">
        <v>180</v>
      </c>
      <c r="AC18" s="59" t="s">
        <v>7</v>
      </c>
      <c r="AD18" s="59" t="s">
        <v>28</v>
      </c>
      <c r="AE18" s="59" t="s">
        <v>7</v>
      </c>
      <c r="AF18" s="59" t="s">
        <v>234</v>
      </c>
      <c r="AG18" s="59" t="s">
        <v>235</v>
      </c>
      <c r="AH18" s="59" t="s">
        <v>190</v>
      </c>
      <c r="AI18" s="59" t="s">
        <v>236</v>
      </c>
      <c r="AJ18" s="59" t="s">
        <v>236</v>
      </c>
      <c r="AK18" s="59" t="s">
        <v>236</v>
      </c>
      <c r="AL18" s="59" t="s">
        <v>236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D8D0</v>
      </c>
      <c r="C19" s="68" t="str">
        <f>_xlfn.CONCAT(":10D8D000",$AC11:$AL11,$W12:$AB12)</f>
        <v>:10D8D000001e023a801871382d40582c45004084</v>
      </c>
      <c r="D19" s="36"/>
      <c r="E19" s="36"/>
      <c r="F19" s="36"/>
      <c r="G19" s="36" t="str" cm="1">
        <f t="array" ref="G19">IntelHexChecksum(RIGHT(C19,40))</f>
        <v>B3</v>
      </c>
      <c r="H19" s="36"/>
      <c r="I19" s="36"/>
      <c r="J19" s="41"/>
      <c r="V19" s="59"/>
      <c r="W19" s="59" t="s">
        <v>7</v>
      </c>
      <c r="X19" s="59" t="s">
        <v>79</v>
      </c>
      <c r="Y19" s="59" t="s">
        <v>6</v>
      </c>
      <c r="Z19" s="59" t="s">
        <v>99</v>
      </c>
      <c r="AA19" s="59" t="s">
        <v>78</v>
      </c>
      <c r="AB19" s="59" t="s">
        <v>76</v>
      </c>
      <c r="AC19" s="59" t="s">
        <v>237</v>
      </c>
      <c r="AD19" s="59" t="s">
        <v>182</v>
      </c>
      <c r="AE19" s="59" t="s">
        <v>170</v>
      </c>
      <c r="AF19" s="59" t="s">
        <v>183</v>
      </c>
      <c r="AG19" s="59" t="s">
        <v>6</v>
      </c>
      <c r="AH19" s="59" t="s">
        <v>82</v>
      </c>
      <c r="AI19" s="59" t="s">
        <v>79</v>
      </c>
      <c r="AJ19" s="59" t="s">
        <v>187</v>
      </c>
      <c r="AK19" s="59" t="s">
        <v>7</v>
      </c>
      <c r="AL19" s="59" t="s">
        <v>122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D8E0</v>
      </c>
      <c r="C20" s="68" t="str">
        <f>_xlfn.CONCAT(":10D8E000",$AC12:$AL12,$W13:$AB13)</f>
        <v>:10D8E0006300001e000000fd00183c0f873c000a</v>
      </c>
      <c r="D20" s="36"/>
      <c r="E20" s="36"/>
      <c r="F20" s="36"/>
      <c r="G20" s="36" t="str" cm="1">
        <f t="array" ref="G20">IntelHexChecksum(RIGHT(C20,40))</f>
        <v>8A</v>
      </c>
      <c r="H20" s="36"/>
      <c r="I20" s="36"/>
      <c r="J20" s="41"/>
      <c r="V20" s="59"/>
      <c r="W20" s="59" t="s">
        <v>175</v>
      </c>
      <c r="X20" s="59" t="s">
        <v>7</v>
      </c>
      <c r="Y20" s="59" t="s">
        <v>7</v>
      </c>
      <c r="Z20" s="59" t="s">
        <v>181</v>
      </c>
      <c r="AA20" s="59" t="s">
        <v>7</v>
      </c>
      <c r="AB20" s="59" t="s">
        <v>238</v>
      </c>
      <c r="AC20" s="83" t="s">
        <v>146</v>
      </c>
      <c r="AD20" s="83" t="s">
        <v>6</v>
      </c>
      <c r="AE20" s="83" t="s">
        <v>141</v>
      </c>
      <c r="AF20" s="83" t="s">
        <v>140</v>
      </c>
      <c r="AG20" s="86" t="str">
        <f>IF(HDR10Plus="Y","90","00")</f>
        <v>90</v>
      </c>
      <c r="AH20" s="83" t="s">
        <v>6</v>
      </c>
      <c r="AI20" s="59" t="s">
        <v>177</v>
      </c>
      <c r="AJ20" s="59" t="s">
        <v>112</v>
      </c>
      <c r="AK20" s="59" t="s">
        <v>178</v>
      </c>
      <c r="AL20" s="59" t="s">
        <v>7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D8F0</v>
      </c>
      <c r="C21" s="68" t="str">
        <f>_xlfn.CONCAT(":10D8F000",$AC13:$AL13,$W14:$AB14)</f>
        <v>:10D8F000202020202020000000fc004550534f4e</v>
      </c>
      <c r="D21" s="36"/>
      <c r="E21" s="36"/>
      <c r="F21" s="36"/>
      <c r="G21" s="36" t="str" cm="1">
        <f t="array" ref="G21">IntelHexChecksum(RIGHT(C21,40))</f>
        <v>E7</v>
      </c>
      <c r="H21" s="36"/>
      <c r="I21" s="36"/>
      <c r="J21" s="41"/>
      <c r="V21" s="59"/>
      <c r="W21" s="59" t="s">
        <v>177</v>
      </c>
      <c r="X21" s="59" t="s">
        <v>123</v>
      </c>
      <c r="Y21" s="59" t="s">
        <v>239</v>
      </c>
      <c r="Z21" s="59" t="s">
        <v>6</v>
      </c>
      <c r="AA21" s="59" t="s">
        <v>181</v>
      </c>
      <c r="AB21" s="59" t="s">
        <v>168</v>
      </c>
      <c r="AC21" s="59" t="s">
        <v>148</v>
      </c>
      <c r="AD21" s="81" t="s">
        <v>124</v>
      </c>
      <c r="AE21" s="81" t="s">
        <v>6</v>
      </c>
      <c r="AF21" s="81" t="s">
        <v>125</v>
      </c>
      <c r="AG21" s="81" t="s">
        <v>184</v>
      </c>
      <c r="AH21" s="81" t="s">
        <v>7</v>
      </c>
      <c r="AI21" s="82" t="str">
        <f>C5</f>
        <v>49</v>
      </c>
      <c r="AJ21" s="82" t="str">
        <f>G5</f>
        <v>03</v>
      </c>
      <c r="AK21" s="82" t="str">
        <f>J5</f>
        <v>48</v>
      </c>
      <c r="AL21" s="82" t="str">
        <f>M5</f>
        <v>A1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D900</v>
      </c>
      <c r="C22" s="68" t="str">
        <f>_xlfn.CONCAT(":10D90000",$AC14:$AL14,$W15:$AB15)</f>
        <v>:10D9000020504a0a202020200127020373f05b76</v>
      </c>
      <c r="D22" s="36"/>
      <c r="E22" s="36"/>
      <c r="F22" s="36"/>
      <c r="G22" s="36" t="str" cm="1">
        <f t="array" ref="G22">IntelHexChecksum(RIGHT(C22,40))</f>
        <v>72</v>
      </c>
      <c r="H22" s="36"/>
      <c r="I22" s="36"/>
      <c r="J22" s="41"/>
      <c r="V22" s="59"/>
      <c r="W22" s="82" t="str">
        <f>O5</f>
        <v>58</v>
      </c>
      <c r="X22" s="82" t="str">
        <f>Q5</f>
        <v>55</v>
      </c>
      <c r="Y22" s="82" t="str">
        <f>S5</f>
        <v>A2</v>
      </c>
      <c r="Z22" s="59" t="s">
        <v>7</v>
      </c>
      <c r="AA22" s="59" t="s">
        <v>7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240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  <c r="AU22" s="6" t="s">
        <v>212</v>
      </c>
    </row>
    <row r="23" spans="2:54" x14ac:dyDescent="0.3">
      <c r="B23" s="67" t="str">
        <f>_xlfn.CONCAT("Patch ",MID(C23,4,4))</f>
        <v>Patch D910</v>
      </c>
      <c r="C23" s="68" t="str">
        <f>_xlfn.CONCAT(":10D91000",$AC15:$AL15,$W16:$AB16)</f>
        <v>:10D9100075dbda616066655f5e5d623f40101f22</v>
      </c>
      <c r="D23" s="36"/>
      <c r="E23" s="36"/>
      <c r="F23" s="36"/>
      <c r="G23" s="36" t="str" cm="1">
        <f t="array" ref="G23">IntelHexChecksum(RIGHT(C23,40))</f>
        <v>05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  <c r="AU23" t="s">
        <v>213</v>
      </c>
    </row>
    <row r="24" spans="2:54" x14ac:dyDescent="0.3">
      <c r="B24" s="67" t="str">
        <f t="shared" si="1"/>
        <v>Patch D920</v>
      </c>
      <c r="C24" s="68" t="str">
        <f>_xlfn.CONCAT(":10D92000",$AC16:$AL16,$W17:$AB17)</f>
        <v>:10D9200020051404131211030201320f7f073d1e</v>
      </c>
      <c r="D24" s="36"/>
      <c r="E24" s="36"/>
      <c r="F24" s="36"/>
      <c r="G24" s="36" t="str" cm="1">
        <f t="array" ref="G24">IntelHexChecksum(RIGHT(C24,40))</f>
        <v>5C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  <c r="AU24" t="s">
        <v>214</v>
      </c>
    </row>
    <row r="25" spans="2:54" x14ac:dyDescent="0.3">
      <c r="B25" s="67" t="str">
        <f t="shared" si="1"/>
        <v>Patch D930</v>
      </c>
      <c r="C25" s="68" t="str">
        <f>_xlfn.CONCAT(":10D93000",$AC17:$AL17,$W18:$AB18)</f>
        <v>:10D93000501507505f7e01570701677e0372030c</v>
      </c>
      <c r="D25" s="36"/>
      <c r="E25" s="36"/>
      <c r="F25" s="36"/>
      <c r="G25" s="36" t="str" cm="1">
        <f t="array" ref="G25">IntelHexChecksum(RIGHT(C25,40))</f>
        <v>85</v>
      </c>
      <c r="H25" s="36"/>
      <c r="I25" s="36"/>
      <c r="J25" s="41"/>
      <c r="U25" t="s">
        <v>129</v>
      </c>
      <c r="V25" s="12">
        <f>HEX2DEC("5d")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D940</v>
      </c>
      <c r="C26" s="68" t="str">
        <f>_xlfn.CONCAT(":10D94000",$AC18:$AL18,$W19:$AB19)</f>
        <v>:10D94000001000b844e042424242008001020304</v>
      </c>
      <c r="D26" s="36"/>
      <c r="E26" s="36"/>
      <c r="F26" s="36"/>
      <c r="G26" s="36" t="str" cm="1">
        <f t="array" ref="G26">IntelHexChecksum(RIGHT(C26,40))</f>
        <v>59</v>
      </c>
      <c r="H26" s="36"/>
      <c r="I26" s="36"/>
      <c r="J26" s="41"/>
      <c r="U26" t="s">
        <v>130</v>
      </c>
      <c r="V26" t="str">
        <f>DEC2HEX(V25+IF(HDR10Plus="Y",6,0))</f>
        <v>63</v>
      </c>
      <c r="W26" t="s">
        <v>216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D950</v>
      </c>
      <c r="C27" s="68" t="str">
        <f>_xlfn.CONCAT(":10D95000",$AC19:$AL19,$W20:$AB20)</f>
        <v>:10D9500068d85dc40178805b00835f0000e200fb</v>
      </c>
      <c r="D27" s="36"/>
      <c r="E27" s="36"/>
      <c r="F27" s="36"/>
      <c r="G27" s="36" t="str" cm="1">
        <f t="array" ref="G27">IntelHexChecksum(RIGHT(C27,40))</f>
        <v>53</v>
      </c>
      <c r="H27" s="36"/>
      <c r="I27" s="36"/>
      <c r="J27" s="41"/>
      <c r="U27" s="82" t="s">
        <v>0</v>
      </c>
      <c r="V27" s="81" t="s">
        <v>124</v>
      </c>
      <c r="W27" s="81" t="s">
        <v>6</v>
      </c>
      <c r="X27" s="81">
        <v>46</v>
      </c>
      <c r="Y27" s="81" t="s">
        <v>131</v>
      </c>
      <c r="Z27" s="81" t="s">
        <v>7</v>
      </c>
      <c r="AA27" s="82" t="str">
        <f>$C$5</f>
        <v>49</v>
      </c>
      <c r="AB27" s="82" t="str">
        <f>$G$5</f>
        <v>03</v>
      </c>
      <c r="AC27" s="82" t="str">
        <f>$J$5</f>
        <v>48</v>
      </c>
      <c r="AD27" s="82" t="str">
        <f>$M$5</f>
        <v>A1</v>
      </c>
      <c r="AE27" s="82" t="str">
        <f>$O$5</f>
        <v>58</v>
      </c>
      <c r="AF27" s="82" t="str">
        <f>$Q$5</f>
        <v>55</v>
      </c>
      <c r="AG27" s="82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D960</v>
      </c>
      <c r="C28" s="68" t="str">
        <f>_xlfn.CONCAT(":10D96000",$AC20:$AL20,$W21:$AB21)</f>
        <v>:10D96000e5018b849001e305c000e3060d01e20f</v>
      </c>
      <c r="D28" s="36"/>
      <c r="E28" s="36"/>
      <c r="F28" s="36"/>
      <c r="G28" s="36" t="str" cm="1">
        <f t="array" ref="G28">IntelHexChecksum(RIGHT(C28,40))</f>
        <v>A1</v>
      </c>
      <c r="H28" s="36"/>
      <c r="I28" s="36"/>
      <c r="J28" s="41"/>
      <c r="U28" s="62" t="s">
        <v>143</v>
      </c>
      <c r="V28" s="62" t="s">
        <v>144</v>
      </c>
      <c r="W28" s="84">
        <v>11</v>
      </c>
      <c r="X28" s="84">
        <v>46</v>
      </c>
      <c r="Y28" s="84" t="s">
        <v>131</v>
      </c>
      <c r="Z28" s="85" t="s">
        <v>7</v>
      </c>
      <c r="AA28" s="84">
        <v>70</v>
      </c>
      <c r="AB28" s="6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D970</v>
      </c>
      <c r="C29" s="68" t="str">
        <f>_xlfn.CONCAT(":10D97000",$AC21:$AL21,$W22:$AB22)</f>
        <v>:10D97000ffeb0146d000490348A15855A2000000</v>
      </c>
      <c r="D29" s="36"/>
      <c r="E29" s="36"/>
      <c r="F29" s="36"/>
      <c r="G29" s="36" t="str" cm="1">
        <f t="array" ref="G29">IntelHexChecksum(RIGHT(C29,40))</f>
        <v>22</v>
      </c>
      <c r="H29" s="36"/>
      <c r="I29" s="36"/>
      <c r="J29" s="41"/>
      <c r="U29" s="62" t="s">
        <v>145</v>
      </c>
      <c r="V29" s="62" t="s">
        <v>146</v>
      </c>
      <c r="W29" s="69" t="s">
        <v>6</v>
      </c>
      <c r="X29" s="69" t="s">
        <v>141</v>
      </c>
      <c r="Y29" s="69" t="s">
        <v>140</v>
      </c>
      <c r="Z29" s="69" t="s">
        <v>142</v>
      </c>
      <c r="AA29" s="6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D980</v>
      </c>
      <c r="C30" s="80" t="str">
        <f>_xlfn.CONCAT(":10D98000",$AC22:$AL22,"000000000000")</f>
        <v>:10D980000000000000000000003b000000000000</v>
      </c>
      <c r="D30" s="44"/>
      <c r="E30" s="44"/>
      <c r="F30" s="44"/>
      <c r="G30" s="44" t="str" cm="1">
        <f t="array" ref="G30">IntelHexChecksum(RIGHT(C30,40))</f>
        <v>5C</v>
      </c>
      <c r="H30" s="44"/>
      <c r="I30" s="44"/>
      <c r="J30" s="45"/>
      <c r="U30" t="s">
        <v>215</v>
      </c>
      <c r="V30" s="59" t="s">
        <v>136</v>
      </c>
      <c r="W30" s="59" t="s">
        <v>132</v>
      </c>
      <c r="X30" s="75" t="s">
        <v>131</v>
      </c>
      <c r="Y30" s="59" t="s">
        <v>133</v>
      </c>
      <c r="Z30" s="59" t="s">
        <v>105</v>
      </c>
      <c r="AA30" s="59" t="s">
        <v>137</v>
      </c>
      <c r="AB30" s="59" t="s">
        <v>134</v>
      </c>
      <c r="AC30" s="59" t="s">
        <v>28</v>
      </c>
      <c r="AD30" s="59" t="s">
        <v>28</v>
      </c>
      <c r="AE30" s="59" t="s">
        <v>138</v>
      </c>
      <c r="AF30" s="59" t="s">
        <v>126</v>
      </c>
      <c r="AG30" s="59" t="s">
        <v>7</v>
      </c>
      <c r="AH30" s="59" t="s">
        <v>135</v>
      </c>
      <c r="AI30" s="59" t="s">
        <v>139</v>
      </c>
      <c r="AJ30" s="59" t="s">
        <v>88</v>
      </c>
      <c r="AK30" s="59" t="s">
        <v>7</v>
      </c>
      <c r="AL30" s="59" t="s">
        <v>7</v>
      </c>
      <c r="AM30" s="59" t="s">
        <v>100</v>
      </c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9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 t="s">
        <v>243</v>
      </c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 t="s">
        <v>244</v>
      </c>
    </row>
    <row r="38" spans="2:55" x14ac:dyDescent="0.3">
      <c r="B38" s="1"/>
      <c r="C38" s="74" t="s">
        <v>245</v>
      </c>
    </row>
    <row r="39" spans="2:55" x14ac:dyDescent="0.3">
      <c r="B39" s="1"/>
      <c r="C39" s="74" t="s">
        <v>246</v>
      </c>
    </row>
    <row r="40" spans="2:55" x14ac:dyDescent="0.3">
      <c r="C40" t="s">
        <v>247</v>
      </c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C41" t="s">
        <v>248</v>
      </c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C42" t="s">
        <v>249</v>
      </c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C43" t="s">
        <v>250</v>
      </c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C44" t="s">
        <v>251</v>
      </c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C45" t="s">
        <v>252</v>
      </c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C46" t="s">
        <v>253</v>
      </c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C47" t="s">
        <v>254</v>
      </c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C48" t="s">
        <v>255</v>
      </c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3:39" x14ac:dyDescent="0.3">
      <c r="C49" t="s">
        <v>256</v>
      </c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3:39" x14ac:dyDescent="0.3">
      <c r="C50" t="s">
        <v>257</v>
      </c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3:39" x14ac:dyDescent="0.3">
      <c r="C51" t="s">
        <v>258</v>
      </c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3:39" x14ac:dyDescent="0.3">
      <c r="C52" t="s">
        <v>259</v>
      </c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9" priority="5">
      <formula>$N$7="Supported"</formula>
    </cfRule>
  </conditionalFormatting>
  <conditionalFormatting sqref="P7">
    <cfRule type="expression" dxfId="8" priority="4" stopIfTrue="1">
      <formula>IF(AND($N$7="Supported",$P$7="Supported"),TRUE,FALSE)</formula>
    </cfRule>
  </conditionalFormatting>
  <conditionalFormatting sqref="I7">
    <cfRule type="expression" dxfId="7" priority="3">
      <formula>$E$7="Not Supported"</formula>
    </cfRule>
  </conditionalFormatting>
  <conditionalFormatting sqref="N7">
    <cfRule type="expression" dxfId="6" priority="2">
      <formula>$P$7="Supported"</formula>
    </cfRule>
  </conditionalFormatting>
  <conditionalFormatting sqref="N7">
    <cfRule type="expression" dxfId="5" priority="1" stopIfTrue="1">
      <formula>IF(AND($N$7="Supported",$P$7="Supported"),TRUE,FALSE)</formula>
    </cfRule>
  </conditionalFormatting>
  <dataValidations disablePrompts="1" count="7">
    <dataValidation type="list" allowBlank="1" showInputMessage="1" showErrorMessage="1" sqref="I3" xr:uid="{A79A737F-7D54-496E-AE4C-D21CF03A25E4}">
      <formula1>$AU$15:$AU$18</formula1>
    </dataValidation>
    <dataValidation type="list" allowBlank="1" showInputMessage="1" showErrorMessage="1" sqref="J7" xr:uid="{253504B4-3AEC-4428-AC2F-8E2201FCC2AC}">
      <formula1>$AN$5:$AN$36</formula1>
    </dataValidation>
    <dataValidation type="list" allowBlank="1" showInputMessage="1" showErrorMessage="1" sqref="I7" xr:uid="{E924FE42-9EF4-46E9-9F1A-641E534AF7B7}">
      <formula1>$AR$5:$AR$9</formula1>
    </dataValidation>
    <dataValidation type="list" allowBlank="1" showInputMessage="1" showErrorMessage="1" sqref="L7" xr:uid="{BC6A646E-6256-45E6-B8A7-18A6510DC0D0}">
      <formula1>$AU$5:$AU$8</formula1>
    </dataValidation>
    <dataValidation type="list" allowBlank="1" showInputMessage="1" showErrorMessage="1" sqref="P7 E7:F7 H7 N7" xr:uid="{174B1156-D40A-48CF-B785-6E212E97FE87}">
      <formula1>"Supported, Not Supported"</formula1>
    </dataValidation>
    <dataValidation type="list" allowBlank="1" showInputMessage="1" showErrorMessage="1" sqref="G7" xr:uid="{DA001E7E-B9D6-4858-9DA3-F90B2AEB09E6}">
      <formula1>$AQ$5:$AQ$36</formula1>
    </dataValidation>
    <dataValidation type="list" allowBlank="1" showInputMessage="1" showErrorMessage="1" sqref="K3" xr:uid="{F1368740-D015-48DB-92BD-4B4F52D41D93}">
      <formula1>$AU$23:$AU$24</formula1>
    </dataValidation>
  </dataValidations>
  <hyperlinks>
    <hyperlink ref="V24" r:id="rId1" xr:uid="{F119D631-B921-428E-9314-A4A34ECCA21A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410C8-2446-46E8-BD93-2139B058E3AA}">
  <sheetPr codeName="Sheet18"/>
  <dimension ref="B2:BC54"/>
  <sheetViews>
    <sheetView zoomScale="85" zoomScaleNormal="85" workbookViewId="0">
      <selection activeCell="L21" sqref="L2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9" t="str">
        <f>DEC2HEX(_xlfn.BITLSHIFT(BIN2DEC(C8),5)+_xlfn.BITLSHIFT(BIN2DEC(D8),2)+_xlfn.BITLSHIFT(BIN2DEC(E8),1)+BIN2DEC(F8))</f>
        <v>49</v>
      </c>
      <c r="D5" s="89"/>
      <c r="E5" s="89"/>
      <c r="F5" s="90"/>
      <c r="G5" s="91" t="str">
        <f>DEC2HEX(_xlfn.BITLSHIFT(BIN2DEC(G8),3)+_xlfn.BITLSHIFT(BIN2DEC(H8),2)+BIN2DEC(I8),2)</f>
        <v>03</v>
      </c>
      <c r="H5" s="87"/>
      <c r="I5" s="88"/>
      <c r="J5" s="91" t="str">
        <f>DEC2HEX(_xlfn.BITLSHIFT(BIN2DEC(J8),3)+_xlfn.BITLSHIFT(BIN2DEC(K8),1)+BIN2DEC(L8),2)</f>
        <v>50</v>
      </c>
      <c r="K5" s="87"/>
      <c r="L5" s="88"/>
      <c r="M5" s="87" t="str">
        <f>BIN2HEX(_xlfn.CONCAT(M8,N8),2)</f>
        <v>A1</v>
      </c>
      <c r="N5" s="88"/>
      <c r="O5" s="87" t="str">
        <f>BIN2HEX(_xlfn.CONCAT(O8,P8),2)</f>
        <v>58</v>
      </c>
      <c r="P5" s="88"/>
      <c r="Q5" s="87" t="str">
        <f>BIN2HEX(_xlfn.CONCAT(Q8,R8),2)</f>
        <v>55</v>
      </c>
      <c r="R5" s="88"/>
      <c r="S5" s="87" t="str">
        <f>BIN2HEX(_xlfn.CONCAT(S8,T8),2)</f>
        <v>A2</v>
      </c>
      <c r="T5" s="88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447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148</v>
      </c>
      <c r="Y7" s="59" t="s">
        <v>148</v>
      </c>
      <c r="Z7" s="59" t="s">
        <v>148</v>
      </c>
      <c r="AA7" s="59" t="s">
        <v>148</v>
      </c>
      <c r="AB7" s="59" t="s">
        <v>148</v>
      </c>
      <c r="AC7" s="59" t="s">
        <v>148</v>
      </c>
      <c r="AD7" s="59" t="s">
        <v>7</v>
      </c>
      <c r="AE7" s="59" t="s">
        <v>75</v>
      </c>
      <c r="AF7" s="59" t="s">
        <v>149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01010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150</v>
      </c>
      <c r="AF8" s="59" t="s">
        <v>151</v>
      </c>
      <c r="AG8" s="59" t="s">
        <v>83</v>
      </c>
      <c r="AH8" s="59" t="s">
        <v>149</v>
      </c>
      <c r="AI8" s="59" t="s">
        <v>84</v>
      </c>
      <c r="AJ8" s="59" t="s">
        <v>152</v>
      </c>
      <c r="AK8" s="59" t="s">
        <v>153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152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154</v>
      </c>
      <c r="AE10" s="59" t="s">
        <v>7</v>
      </c>
      <c r="AF10" s="59" t="s">
        <v>95</v>
      </c>
      <c r="AG10" s="59" t="s">
        <v>155</v>
      </c>
      <c r="AH10" s="59" t="s">
        <v>96</v>
      </c>
      <c r="AI10" s="59" t="s">
        <v>156</v>
      </c>
      <c r="AJ10" s="59" t="s">
        <v>79</v>
      </c>
      <c r="AK10" s="59" t="s">
        <v>153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147</v>
      </c>
      <c r="J11" s="40"/>
      <c r="V11" s="59"/>
      <c r="W11" s="59" t="s">
        <v>157</v>
      </c>
      <c r="X11" s="59" t="s">
        <v>7</v>
      </c>
      <c r="Y11" s="59" t="s">
        <v>98</v>
      </c>
      <c r="Z11" s="59" t="s">
        <v>158</v>
      </c>
      <c r="AA11" s="59" t="s">
        <v>83</v>
      </c>
      <c r="AB11" s="59" t="s">
        <v>7</v>
      </c>
      <c r="AC11" s="59" t="s">
        <v>7</v>
      </c>
      <c r="AD11" s="59" t="s">
        <v>159</v>
      </c>
      <c r="AE11" s="59" t="s">
        <v>99</v>
      </c>
      <c r="AF11" s="59" t="s">
        <v>160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161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EB0146D000490350A15855A2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162</v>
      </c>
      <c r="Y12" s="59" t="s">
        <v>91</v>
      </c>
      <c r="Z12" s="59" t="s">
        <v>7</v>
      </c>
      <c r="AA12" s="59" t="s">
        <v>98</v>
      </c>
      <c r="AB12" s="59" t="s">
        <v>158</v>
      </c>
      <c r="AC12" s="59" t="s">
        <v>83</v>
      </c>
      <c r="AD12" s="59" t="s">
        <v>7</v>
      </c>
      <c r="AE12" s="59" t="s">
        <v>7</v>
      </c>
      <c r="AF12" s="59" t="s">
        <v>159</v>
      </c>
      <c r="AG12" s="59" t="s">
        <v>7</v>
      </c>
      <c r="AH12" s="59" t="s">
        <v>7</v>
      </c>
      <c r="AI12" s="59" t="s">
        <v>7</v>
      </c>
      <c r="AJ12" s="59" t="s">
        <v>163</v>
      </c>
      <c r="AK12" s="59" t="s">
        <v>7</v>
      </c>
      <c r="AL12" s="59" t="s">
        <v>164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4C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161</v>
      </c>
      <c r="Z13" s="59" t="s">
        <v>165</v>
      </c>
      <c r="AA13" s="59" t="s">
        <v>161</v>
      </c>
      <c r="AB13" s="59" t="s">
        <v>104</v>
      </c>
      <c r="AC13" s="59" t="s">
        <v>161</v>
      </c>
      <c r="AD13" s="59" t="s">
        <v>87</v>
      </c>
      <c r="AE13" s="59" t="s">
        <v>150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166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210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167</v>
      </c>
      <c r="Z14" s="59" t="s">
        <v>168</v>
      </c>
      <c r="AA14" s="59" t="s">
        <v>106</v>
      </c>
      <c r="AB14" s="59" t="s">
        <v>169</v>
      </c>
      <c r="AC14" s="59" t="s">
        <v>7</v>
      </c>
      <c r="AD14" s="59" t="s">
        <v>150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194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9" t="s">
        <v>170</v>
      </c>
      <c r="Z15" s="59" t="s">
        <v>155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195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171</v>
      </c>
      <c r="AA16" s="59" t="s">
        <v>105</v>
      </c>
      <c r="AB16" s="59" t="s">
        <v>118</v>
      </c>
      <c r="AC16" s="59" t="s">
        <v>172</v>
      </c>
      <c r="AD16" s="59" t="s">
        <v>92</v>
      </c>
      <c r="AE16" s="59" t="s">
        <v>119</v>
      </c>
      <c r="AF16" s="59" t="s">
        <v>168</v>
      </c>
      <c r="AG16" s="59" t="s">
        <v>173</v>
      </c>
      <c r="AH16" s="59" t="s">
        <v>113</v>
      </c>
      <c r="AI16" s="59" t="s">
        <v>174</v>
      </c>
      <c r="AJ16" s="59" t="s">
        <v>159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196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175</v>
      </c>
      <c r="Z17" s="59" t="s">
        <v>176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176</v>
      </c>
      <c r="AG17" s="59" t="s">
        <v>78</v>
      </c>
      <c r="AH17" s="59" t="s">
        <v>122</v>
      </c>
      <c r="AI17" s="59" t="s">
        <v>175</v>
      </c>
      <c r="AJ17" s="59" t="s">
        <v>7</v>
      </c>
      <c r="AK17" s="59" t="s">
        <v>7</v>
      </c>
      <c r="AL17" s="59" t="s">
        <v>177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197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178</v>
      </c>
      <c r="Y18" s="59" t="s">
        <v>7</v>
      </c>
      <c r="Z18" s="59" t="s">
        <v>179</v>
      </c>
      <c r="AA18" s="59" t="s">
        <v>78</v>
      </c>
      <c r="AB18" s="59" t="s">
        <v>180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169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198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181</v>
      </c>
      <c r="Z19" s="59" t="s">
        <v>168</v>
      </c>
      <c r="AA19" s="59" t="s">
        <v>168</v>
      </c>
      <c r="AB19" s="59" t="s">
        <v>121</v>
      </c>
      <c r="AC19" s="59" t="s">
        <v>182</v>
      </c>
      <c r="AD19" s="59" t="s">
        <v>170</v>
      </c>
      <c r="AE19" s="59" t="s">
        <v>183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177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199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59" t="s">
        <v>124</v>
      </c>
      <c r="Y20" s="59" t="s">
        <v>6</v>
      </c>
      <c r="Z20" s="59" t="s">
        <v>125</v>
      </c>
      <c r="AA20" s="59" t="s">
        <v>184</v>
      </c>
      <c r="AB20" s="59" t="s">
        <v>7</v>
      </c>
      <c r="AC20" s="59" t="s">
        <v>185</v>
      </c>
      <c r="AD20" s="59" t="s">
        <v>150</v>
      </c>
      <c r="AE20" s="59" t="s">
        <v>86</v>
      </c>
      <c r="AF20" s="59" t="s">
        <v>186</v>
      </c>
      <c r="AG20" s="59" t="s">
        <v>79</v>
      </c>
      <c r="AH20" s="59" t="s">
        <v>187</v>
      </c>
      <c r="AI20" s="59" t="s">
        <v>188</v>
      </c>
      <c r="AJ20" s="59" t="s">
        <v>189</v>
      </c>
      <c r="AK20" s="59" t="s">
        <v>150</v>
      </c>
      <c r="AL20" s="59" t="s">
        <v>184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200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s="76" t="s">
        <v>157</v>
      </c>
      <c r="X21" s="76" t="s">
        <v>105</v>
      </c>
      <c r="Y21" s="76" t="s">
        <v>190</v>
      </c>
      <c r="Z21" s="59" t="s">
        <v>161</v>
      </c>
      <c r="AA21" s="59" t="s">
        <v>28</v>
      </c>
      <c r="AB21" s="75" t="s">
        <v>28</v>
      </c>
      <c r="AC21" s="59" t="s">
        <v>191</v>
      </c>
      <c r="AD21" s="59" t="s">
        <v>126</v>
      </c>
      <c r="AE21" s="59" t="s">
        <v>7</v>
      </c>
      <c r="AF21" s="59" t="s">
        <v>183</v>
      </c>
      <c r="AG21" s="59" t="s">
        <v>192</v>
      </c>
      <c r="AH21" s="59" t="s">
        <v>88</v>
      </c>
      <c r="AI21" s="59" t="s">
        <v>7</v>
      </c>
      <c r="AJ21" s="59" t="s">
        <v>7</v>
      </c>
      <c r="AK21" s="59" t="s">
        <v>100</v>
      </c>
      <c r="AL21" s="59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201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s="59" t="s">
        <v>7</v>
      </c>
      <c r="X22" s="59" t="s">
        <v>7</v>
      </c>
      <c r="Y22" s="59" t="s">
        <v>7</v>
      </c>
      <c r="Z22" s="59" t="s">
        <v>7</v>
      </c>
      <c r="AA22" s="59" t="s">
        <v>7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193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67" t="str">
        <f t="shared" si="1"/>
        <v>Patch 81C0</v>
      </c>
      <c r="C23" s="68" t="s">
        <v>202</v>
      </c>
      <c r="D23" s="36"/>
      <c r="E23" s="36"/>
      <c r="F23" s="36"/>
      <c r="G23" s="36" t="str" cm="1">
        <f t="array" ref="G23">IntelHexChecksum(RIGHT(C23,40))</f>
        <v>24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67" t="str">
        <f t="shared" si="1"/>
        <v>Patch 81D0</v>
      </c>
      <c r="C24" s="68" t="s">
        <v>203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67" t="str">
        <f t="shared" si="1"/>
        <v>Patch 81E0</v>
      </c>
      <c r="C25" s="68" t="s">
        <v>204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HEX2DEC(Y15)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205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DEC2HEX(V25+12+6)</f>
        <v>6F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">
        <v>206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50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">
        <v>207</v>
      </c>
      <c r="D28" s="36"/>
      <c r="E28" s="36"/>
      <c r="F28" s="36"/>
      <c r="G28" s="36" t="str" cm="1">
        <f t="array" ref="G28">IntelHexChecksum(RIGHT(C28,40))</f>
        <v>42</v>
      </c>
      <c r="H28" s="36"/>
      <c r="I28" s="36"/>
      <c r="J28" s="41"/>
      <c r="U28" t="s">
        <v>143</v>
      </c>
      <c r="V28" t="s">
        <v>144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">
        <v>208</v>
      </c>
      <c r="D29" s="36"/>
      <c r="E29" s="36"/>
      <c r="F29" s="36"/>
      <c r="G29" s="36" t="str" cm="1">
        <f t="array" ref="G29">IntelHexChecksum(RIGHT(C29,40))</f>
        <v>C2</v>
      </c>
      <c r="H29" s="36"/>
      <c r="I29" s="36"/>
      <c r="J29" s="41"/>
      <c r="U29" t="s">
        <v>145</v>
      </c>
      <c r="V29" t="s">
        <v>146</v>
      </c>
      <c r="W29" s="59" t="s">
        <v>6</v>
      </c>
      <c r="X29" s="59" t="s">
        <v>141</v>
      </c>
      <c r="Y29" s="59" t="s">
        <v>140</v>
      </c>
      <c r="Z29" s="59" t="s">
        <v>142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">
        <v>209</v>
      </c>
      <c r="D30" s="44"/>
      <c r="E30" s="44"/>
      <c r="F30" s="44"/>
      <c r="G30" s="44" t="str" cm="1">
        <f t="array" ref="G30">IntelHexChecksum(RIGHT(C30,40))</f>
        <v>5B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4" priority="5">
      <formula>$N$7="Supported"</formula>
    </cfRule>
  </conditionalFormatting>
  <conditionalFormatting sqref="P7">
    <cfRule type="expression" dxfId="3" priority="4" stopIfTrue="1">
      <formula>IF(AND($N$7="Supported",$P$7="Supported"),TRUE,FALSE)</formula>
    </cfRule>
  </conditionalFormatting>
  <conditionalFormatting sqref="I7">
    <cfRule type="expression" dxfId="2" priority="3">
      <formula>$E$7="Not Supported"</formula>
    </cfRule>
  </conditionalFormatting>
  <conditionalFormatting sqref="N7">
    <cfRule type="expression" dxfId="1" priority="2">
      <formula>$P$7="Supported"</formula>
    </cfRule>
  </conditionalFormatting>
  <conditionalFormatting sqref="N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EFCDFF8E-1AD2-4693-9371-03C4EFEC0537}">
      <formula1>$AQ$5:$AQ$36</formula1>
    </dataValidation>
    <dataValidation type="list" allowBlank="1" showInputMessage="1" showErrorMessage="1" sqref="P7 E7:F7 H7 N7" xr:uid="{44AC3160-C6A6-40A7-B468-95290CC4D366}">
      <formula1>"Supported, Not Supported"</formula1>
    </dataValidation>
    <dataValidation type="list" allowBlank="1" showInputMessage="1" showErrorMessage="1" sqref="L7" xr:uid="{F25CBB2A-FCBB-4D3C-8905-8487F0252F81}">
      <formula1>$AU$5:$AU$8</formula1>
    </dataValidation>
    <dataValidation type="list" allowBlank="1" showInputMessage="1" showErrorMessage="1" sqref="I7" xr:uid="{AF30D05C-2410-459C-A6D1-9F5B8FE746DB}">
      <formula1>$AR$5:$AR$9</formula1>
    </dataValidation>
    <dataValidation type="list" allowBlank="1" showInputMessage="1" showErrorMessage="1" sqref="J7" xr:uid="{44534B4D-B654-4080-B71F-B4177159C9BA}">
      <formula1>$AN$5:$AN$36</formula1>
    </dataValidation>
    <dataValidation type="list" allowBlank="1" showInputMessage="1" showErrorMessage="1" sqref="I3" xr:uid="{4BB27D43-C17E-4575-ACA2-34CBD778353B}">
      <formula1>$AU$15:$AU$18</formula1>
    </dataValidation>
  </dataValidations>
  <hyperlinks>
    <hyperlink ref="V24" r:id="rId1" xr:uid="{51EFC76F-1421-4425-96C2-7527DA94A642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83cc05a-86fe-47c6-881d-daddf762ddd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657D0E5434FC42A0BD978527585645" ma:contentTypeVersion="17" ma:contentTypeDescription="Create a new document." ma:contentTypeScope="" ma:versionID="63f8fed554de51d2a274da2bec00ee40">
  <xsd:schema xmlns:xsd="http://www.w3.org/2001/XMLSchema" xmlns:xs="http://www.w3.org/2001/XMLSchema" xmlns:p="http://schemas.microsoft.com/office/2006/metadata/properties" xmlns:ns3="5a0810bc-22dc-4d9c-a165-f56f142957d6" xmlns:ns4="983cc05a-86fe-47c6-881d-daddf762ddd1" targetNamespace="http://schemas.microsoft.com/office/2006/metadata/properties" ma:root="true" ma:fieldsID="52b66c5b254ab3571deed629f15139ae" ns3:_="" ns4:_="">
    <xsd:import namespace="5a0810bc-22dc-4d9c-a165-f56f142957d6"/>
    <xsd:import namespace="983cc05a-86fe-47c6-881d-daddf762ddd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MediaServiceGenerationTime" minOccurs="0"/>
                <xsd:element ref="ns4:MediaServiceEventHashCode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0810bc-22dc-4d9c-a165-f56f142957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3cc05a-86fe-47c6-881d-daddf762d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17A0D4-F90B-4E78-8C53-AAA6BD87B6BC}">
  <ds:schemaRefs>
    <ds:schemaRef ds:uri="http://www.w3.org/XML/1998/namespace"/>
    <ds:schemaRef ds:uri="983cc05a-86fe-47c6-881d-daddf762ddd1"/>
    <ds:schemaRef ds:uri="http://schemas.microsoft.com/office/2006/metadata/properties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a0810bc-22dc-4d9c-a165-f56f142957d6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1EF8452-5F11-4D30-AE47-99B295C901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0810bc-22dc-4d9c-a165-f56f142957d6"/>
    <ds:schemaRef ds:uri="983cc05a-86fe-47c6-881d-daddf762d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662562-7CE6-4B74-8846-6D0B4FE8525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Patcher</vt:lpstr>
      <vt:lpstr>Custom DV</vt:lpstr>
      <vt:lpstr>Custom EDID-EZCOO</vt:lpstr>
      <vt:lpstr>Original EDID-EZCOO</vt:lpstr>
      <vt:lpstr>HDR10Plus</vt:lpstr>
      <vt:lpstr>LS12000_Native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2024-12-05T03:01:11Z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0x01010010657D0E5434FC42A0BD978527585645</vt:lpwstr>
  </property>
</Properties>
</file>