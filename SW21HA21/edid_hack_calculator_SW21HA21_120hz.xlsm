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SW21HA21\"/>
    </mc:Choice>
  </mc:AlternateContent>
  <xr:revisionPtr revIDLastSave="0" documentId="8_{748DCAA4-82E7-452E-AF7B-7C212C160A72}" xr6:coauthVersionLast="47" xr6:coauthVersionMax="47" xr10:uidLastSave="{00000000-0000-0000-0000-000000000000}"/>
  <bookViews>
    <workbookView xWindow="3226" yWindow="4343" windowWidth="31403" windowHeight="13179" firstSheet="2" activeTab="2" xr2:uid="{DE808AFE-8AFE-4111-8161-9EF8B03B2A2C}"/>
  </bookViews>
  <sheets>
    <sheet name="Patcher" sheetId="1" state="hidden" r:id="rId1"/>
    <sheet name="Custom DV" sheetId="5" state="hidden" r:id="rId2"/>
    <sheet name="Custom EDID-EZCOO" sheetId="6" r:id="rId3"/>
    <sheet name="Original EDID-EZCOO" sheetId="7" state="hidden" r:id="rId4"/>
  </sheets>
  <functionGroups builtInGroupCount="19"/>
  <definedNames>
    <definedName name="HDR10Plus">'Custom EDID-EZCOO'!$K$3</definedName>
    <definedName name="LS12000_Native">'Custom EDID-EZCOO'!$AU$23:$AU$24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20" i="6" l="1"/>
  <c r="C28" i="6" s="1"/>
  <c r="Y22" i="6"/>
  <c r="X22" i="6"/>
  <c r="W22" i="6"/>
  <c r="AL21" i="6"/>
  <c r="AK21" i="6"/>
  <c r="AJ21" i="6"/>
  <c r="AI21" i="6"/>
  <c r="C30" i="6"/>
  <c r="V25" i="6"/>
  <c r="C27" i="6"/>
  <c r="C26" i="6"/>
  <c r="C25" i="6"/>
  <c r="C24" i="6"/>
  <c r="C22" i="6"/>
  <c r="C21" i="6"/>
  <c r="C20" i="6"/>
  <c r="C19" i="6"/>
  <c r="C18" i="6"/>
  <c r="C17" i="6"/>
  <c r="C16" i="6"/>
  <c r="C15" i="6"/>
  <c r="C14" i="6"/>
  <c r="C29" i="6" l="1"/>
  <c r="V26" i="6" l="1"/>
  <c r="C23" i="6" s="1"/>
  <c r="V26" i="7"/>
  <c r="B30" i="7"/>
  <c r="B29" i="7"/>
  <c r="B28" i="7"/>
  <c r="B27" i="7"/>
  <c r="B26" i="7"/>
  <c r="B25" i="7"/>
  <c r="B24" i="7"/>
  <c r="B23" i="7"/>
  <c r="B22" i="7"/>
  <c r="B21" i="7"/>
  <c r="B20" i="7"/>
  <c r="B19" i="7"/>
  <c r="B18" i="7"/>
  <c r="B17" i="7"/>
  <c r="B16" i="7"/>
  <c r="B15" i="7"/>
  <c r="B14" i="7"/>
  <c r="G19" i="7" a="1"/>
  <c r="G28" i="7" a="1"/>
  <c r="G22" i="7" a="1"/>
  <c r="G23" i="7" a="1"/>
  <c r="G26" i="7" a="1"/>
  <c r="G18" i="7" a="1"/>
  <c r="G21" i="7" a="1"/>
  <c r="G15" i="7" a="1"/>
  <c r="G27" i="7" a="1"/>
  <c r="G25" i="7" a="1"/>
  <c r="G30" i="7" a="1"/>
  <c r="G20" i="7" a="1"/>
  <c r="G16" i="7" a="1"/>
  <c r="G29" i="7" a="1"/>
  <c r="G24" i="7" a="1"/>
  <c r="G14" i="7" a="1"/>
  <c r="G17" i="7" a="1"/>
  <c r="B23" i="6" l="1"/>
  <c r="B30" i="6"/>
  <c r="B29" i="6"/>
  <c r="G16" i="7"/>
  <c r="G20" i="7"/>
  <c r="G28" i="7"/>
  <c r="G14" i="7"/>
  <c r="G18" i="7"/>
  <c r="G22" i="7"/>
  <c r="G26" i="7"/>
  <c r="G30" i="7"/>
  <c r="G24" i="7"/>
  <c r="G15" i="7"/>
  <c r="G19" i="7"/>
  <c r="G23" i="7"/>
  <c r="G27" i="7"/>
  <c r="G17" i="7"/>
  <c r="G21" i="7"/>
  <c r="G25" i="7"/>
  <c r="G29" i="7"/>
  <c r="B27" i="6"/>
  <c r="B26" i="6"/>
  <c r="B25" i="6"/>
  <c r="B24" i="6"/>
  <c r="B22" i="6"/>
  <c r="B21" i="6"/>
  <c r="B20" i="6"/>
  <c r="B19" i="6"/>
  <c r="B18" i="6"/>
  <c r="B17" i="6"/>
  <c r="B16" i="6"/>
  <c r="B15" i="6"/>
  <c r="B14" i="6"/>
  <c r="T7" i="6" l="1"/>
  <c r="V25" i="7"/>
  <c r="Q8" i="7"/>
  <c r="Q5" i="7" s="1"/>
  <c r="AF27" i="7" s="1"/>
  <c r="P8" i="7"/>
  <c r="N8" i="7"/>
  <c r="M8" i="7"/>
  <c r="L8" i="7"/>
  <c r="I8" i="7"/>
  <c r="H8" i="7"/>
  <c r="F8" i="7"/>
  <c r="E8" i="7"/>
  <c r="T7" i="7"/>
  <c r="T8" i="7" s="1"/>
  <c r="S7" i="7"/>
  <c r="S8" i="7" s="1"/>
  <c r="S5" i="7" s="1"/>
  <c r="AG27" i="7" s="1"/>
  <c r="R7" i="7"/>
  <c r="R8" i="7" s="1"/>
  <c r="Q7" i="7"/>
  <c r="O7" i="7"/>
  <c r="O8" i="7" s="1"/>
  <c r="O5" i="7" s="1"/>
  <c r="AE27" i="7" s="1"/>
  <c r="M7" i="7"/>
  <c r="M5" i="7"/>
  <c r="AD27" i="7" s="1"/>
  <c r="C5" i="7"/>
  <c r="AA27" i="7" s="1"/>
  <c r="AP35" i="7" a="1"/>
  <c r="AQ24" i="7" a="1"/>
  <c r="AP11" i="7" a="1"/>
  <c r="AQ20" i="7" a="1"/>
  <c r="AQ33" i="7" a="1"/>
  <c r="AQ12" i="7" a="1"/>
  <c r="AP29" i="7" a="1"/>
  <c r="AQ22" i="7" a="1"/>
  <c r="AQ18" i="7" a="1"/>
  <c r="AQ14" i="7" a="1"/>
  <c r="AP13" i="7" a="1"/>
  <c r="AQ7" i="7" a="1"/>
  <c r="AP36" i="7" a="1"/>
  <c r="AP24" i="7" a="1"/>
  <c r="AQ29" i="7" a="1"/>
  <c r="AP17" i="7" a="1"/>
  <c r="AP34" i="7" a="1"/>
  <c r="AP28" i="7" a="1"/>
  <c r="AQ11" i="7" a="1"/>
  <c r="AQ27" i="7" a="1"/>
  <c r="AP27" i="7" a="1"/>
  <c r="AP16" i="7" a="1"/>
  <c r="AQ16" i="7" a="1"/>
  <c r="AQ23" i="7" a="1"/>
  <c r="AP31" i="7" a="1"/>
  <c r="AP18" i="7" a="1"/>
  <c r="AQ19" i="7" a="1"/>
  <c r="AQ15" i="7" a="1"/>
  <c r="AQ8" i="7" a="1"/>
  <c r="AP10" i="7" a="1"/>
  <c r="AQ31" i="7" a="1"/>
  <c r="AP19" i="7" a="1"/>
  <c r="AQ10" i="7" a="1"/>
  <c r="AP8" i="7" a="1"/>
  <c r="AQ28" i="7" a="1"/>
  <c r="AQ32" i="7" a="1"/>
  <c r="AQ26" i="7" a="1"/>
  <c r="AP9" i="7" a="1"/>
  <c r="AQ9" i="7" a="1"/>
  <c r="AP6" i="7" a="1"/>
  <c r="AP14" i="7" a="1"/>
  <c r="AQ13" i="7" a="1"/>
  <c r="AP5" i="7" a="1"/>
  <c r="AQ25" i="7" a="1"/>
  <c r="AQ36" i="7" a="1"/>
  <c r="AQ21" i="7" a="1"/>
  <c r="AQ30" i="7" a="1"/>
  <c r="AP12" i="7" a="1"/>
  <c r="AQ35" i="7" a="1"/>
  <c r="AQ34" i="7" a="1"/>
  <c r="AP32" i="7" a="1"/>
  <c r="AP30" i="7" a="1"/>
  <c r="AP25" i="7" a="1"/>
  <c r="AP23" i="7" a="1"/>
  <c r="AQ17" i="7" a="1"/>
  <c r="AP21" i="7" a="1"/>
  <c r="AQ6" i="7" a="1"/>
  <c r="AP15" i="7" a="1"/>
  <c r="AP26" i="7" a="1"/>
  <c r="AP22" i="7" a="1"/>
  <c r="AP33" i="7" a="1"/>
  <c r="AQ5" i="7" a="1"/>
  <c r="AP7" i="7" a="1"/>
  <c r="AP20" i="7" a="1"/>
  <c r="G30" i="6" a="1"/>
  <c r="G30" i="6" l="1"/>
  <c r="T8" i="6"/>
  <c r="AP11" i="7"/>
  <c r="AN11" i="7" s="1"/>
  <c r="AQ25" i="7"/>
  <c r="AQ6" i="7"/>
  <c r="AQ9" i="7"/>
  <c r="AQ12" i="7"/>
  <c r="AP5" i="7"/>
  <c r="AN5" i="7" s="1"/>
  <c r="AP14" i="7"/>
  <c r="AN14" i="7" s="1"/>
  <c r="AP16" i="7"/>
  <c r="AN16" i="7" s="1"/>
  <c r="AP18" i="7"/>
  <c r="AN18" i="7" s="1"/>
  <c r="AP21" i="7"/>
  <c r="AN21" i="7" s="1"/>
  <c r="AP23" i="7"/>
  <c r="AN23" i="7" s="1"/>
  <c r="AQ26" i="7"/>
  <c r="AP33" i="7"/>
  <c r="AN33" i="7" s="1"/>
  <c r="AP6" i="7"/>
  <c r="AN6" i="7" s="1"/>
  <c r="AP9" i="7"/>
  <c r="AN9" i="7" s="1"/>
  <c r="AQ11" i="7"/>
  <c r="AP12" i="7"/>
  <c r="AN12" i="7" s="1"/>
  <c r="AP25" i="7"/>
  <c r="AN25" i="7" s="1"/>
  <c r="AP27" i="7"/>
  <c r="AN27" i="7" s="1"/>
  <c r="AP28" i="7"/>
  <c r="AN28" i="7" s="1"/>
  <c r="AP29" i="7"/>
  <c r="AN29" i="7" s="1"/>
  <c r="AP30" i="7"/>
  <c r="AN30" i="7" s="1"/>
  <c r="AQ32" i="7"/>
  <c r="AP34" i="7"/>
  <c r="AN34" i="7" s="1"/>
  <c r="AQ36" i="7"/>
  <c r="AQ27" i="7"/>
  <c r="AQ28" i="7"/>
  <c r="AQ29" i="7"/>
  <c r="AQ30" i="7"/>
  <c r="AP32" i="7"/>
  <c r="AN32" i="7" s="1"/>
  <c r="AQ34" i="7"/>
  <c r="AP36" i="7"/>
  <c r="AN36" i="7" s="1"/>
  <c r="AP7" i="7"/>
  <c r="AN7" i="7" s="1"/>
  <c r="AP8" i="7"/>
  <c r="AN8" i="7" s="1"/>
  <c r="AQ10" i="7"/>
  <c r="AP13" i="7"/>
  <c r="AN13" i="7" s="1"/>
  <c r="AP15" i="7"/>
  <c r="AN15" i="7" s="1"/>
  <c r="AP17" i="7"/>
  <c r="AN17" i="7" s="1"/>
  <c r="AP19" i="7"/>
  <c r="AN19" i="7" s="1"/>
  <c r="AP20" i="7"/>
  <c r="AN20" i="7" s="1"/>
  <c r="AP22" i="7"/>
  <c r="AN22" i="7" s="1"/>
  <c r="AP24" i="7"/>
  <c r="AN24" i="7" s="1"/>
  <c r="AQ31" i="7"/>
  <c r="AQ35" i="7"/>
  <c r="AQ5" i="7"/>
  <c r="G8" i="7" s="1"/>
  <c r="G5" i="7" s="1"/>
  <c r="AQ7" i="7"/>
  <c r="AQ8" i="7"/>
  <c r="AP10" i="7"/>
  <c r="AN10" i="7" s="1"/>
  <c r="AQ13" i="7"/>
  <c r="AQ14" i="7"/>
  <c r="AQ15" i="7"/>
  <c r="AQ16" i="7"/>
  <c r="AQ17" i="7"/>
  <c r="AQ18" i="7"/>
  <c r="AQ19" i="7"/>
  <c r="AQ20" i="7"/>
  <c r="AQ21" i="7"/>
  <c r="AQ22" i="7"/>
  <c r="AQ23" i="7"/>
  <c r="AQ24" i="7"/>
  <c r="AP26" i="7"/>
  <c r="AN26" i="7" s="1"/>
  <c r="AP31" i="7"/>
  <c r="AN31" i="7" s="1"/>
  <c r="AQ33" i="7"/>
  <c r="AP35" i="7"/>
  <c r="AN35" i="7" s="1"/>
  <c r="AB27" i="7" l="1"/>
  <c r="J8" i="7"/>
  <c r="J5" i="7" s="1"/>
  <c r="AC27" i="7" s="1"/>
  <c r="C12" i="7" l="1"/>
  <c r="C13" i="7" a="1"/>
  <c r="C13" i="7" l="1"/>
  <c r="P8" i="6" l="1"/>
  <c r="N8" i="6"/>
  <c r="L8" i="6"/>
  <c r="I8" i="6"/>
  <c r="H8" i="6"/>
  <c r="F8" i="6"/>
  <c r="E8" i="6"/>
  <c r="S7" i="6"/>
  <c r="R7" i="6"/>
  <c r="Q7" i="6"/>
  <c r="O7" i="6"/>
  <c r="M7" i="6"/>
  <c r="P8" i="5"/>
  <c r="N8" i="5"/>
  <c r="T7" i="5"/>
  <c r="T8" i="5" s="1"/>
  <c r="S7" i="5"/>
  <c r="S8" i="5" s="1"/>
  <c r="R7" i="5"/>
  <c r="R8" i="5" s="1"/>
  <c r="Q7" i="5"/>
  <c r="Q8" i="5" s="1"/>
  <c r="O7" i="5"/>
  <c r="O8" i="5" s="1"/>
  <c r="M7" i="5"/>
  <c r="M8" i="5" s="1"/>
  <c r="AQ10" i="5" a="1"/>
  <c r="AP10" i="5" a="1"/>
  <c r="AP25" i="5" a="1"/>
  <c r="AQ7" i="5" a="1"/>
  <c r="AP8" i="5" a="1"/>
  <c r="AP5" i="5" a="1"/>
  <c r="AP17" i="5" a="1"/>
  <c r="AQ28" i="5" a="1"/>
  <c r="AP13" i="5" a="1"/>
  <c r="AQ34" i="5" a="1"/>
  <c r="AP7" i="5" a="1"/>
  <c r="AQ21" i="5" a="1"/>
  <c r="AP18" i="5" a="1"/>
  <c r="AP29" i="5" a="1"/>
  <c r="AP34" i="5" a="1"/>
  <c r="AQ9" i="5" a="1"/>
  <c r="AQ8" i="5" a="1"/>
  <c r="AQ24" i="5" a="1"/>
  <c r="AQ12" i="5" a="1"/>
  <c r="AP27" i="5" a="1"/>
  <c r="AP35" i="5" a="1"/>
  <c r="AP24" i="5" a="1"/>
  <c r="AP12" i="5" a="1"/>
  <c r="AQ5" i="5" a="1"/>
  <c r="AP31" i="5" a="1"/>
  <c r="AQ15" i="5" a="1"/>
  <c r="AP33" i="5" a="1"/>
  <c r="AP6" i="5" a="1"/>
  <c r="AP11" i="5" a="1"/>
  <c r="AQ17" i="5" a="1"/>
  <c r="AP32" i="5" a="1"/>
  <c r="AP20" i="5" a="1"/>
  <c r="AQ6" i="5" a="1"/>
  <c r="AQ13" i="5" a="1"/>
  <c r="AP19" i="5" a="1"/>
  <c r="AQ11" i="5" a="1"/>
  <c r="AQ30" i="5" a="1"/>
  <c r="AQ18" i="5" a="1"/>
  <c r="AQ22" i="5" a="1"/>
  <c r="AP15" i="5" a="1"/>
  <c r="AP14" i="5" a="1"/>
  <c r="AQ32" i="5" a="1"/>
  <c r="AQ23" i="5" a="1"/>
  <c r="AQ35" i="5" a="1"/>
  <c r="AP9" i="5" a="1"/>
  <c r="AQ26" i="5" a="1"/>
  <c r="AP30" i="5" a="1"/>
  <c r="AP21" i="5" a="1"/>
  <c r="AQ33" i="5" a="1"/>
  <c r="AQ19" i="5" a="1"/>
  <c r="AP26" i="5" a="1"/>
  <c r="AQ31" i="5" a="1"/>
  <c r="AQ29" i="5" a="1"/>
  <c r="AQ25" i="5" a="1"/>
  <c r="AQ20" i="5" a="1"/>
  <c r="AP22" i="5" a="1"/>
  <c r="AP16" i="5" a="1"/>
  <c r="AP36" i="5" a="1"/>
  <c r="AQ27" i="5" a="1"/>
  <c r="AQ14" i="5" a="1"/>
  <c r="AP23" i="5" a="1"/>
  <c r="AQ16" i="5" a="1"/>
  <c r="AP28" i="5" a="1"/>
  <c r="AQ36" i="5" a="1"/>
  <c r="AP23" i="6" a="1"/>
  <c r="AP24" i="6" a="1"/>
  <c r="AQ32" i="6" a="1"/>
  <c r="AP10" i="6" a="1"/>
  <c r="AQ23" i="6" a="1"/>
  <c r="AQ29" i="6" a="1"/>
  <c r="AQ22" i="6" a="1"/>
  <c r="AP29" i="6" a="1"/>
  <c r="AQ34" i="6" a="1"/>
  <c r="AP5" i="6" a="1"/>
  <c r="AP25" i="6" a="1"/>
  <c r="AQ20" i="6" a="1"/>
  <c r="AQ26" i="6" a="1"/>
  <c r="AQ35" i="6" a="1"/>
  <c r="AQ6" i="6" a="1"/>
  <c r="AQ11" i="6" a="1"/>
  <c r="AP33" i="6" a="1"/>
  <c r="AQ16" i="6" a="1"/>
  <c r="AQ13" i="6" a="1"/>
  <c r="AQ5" i="6" a="1"/>
  <c r="AQ14" i="6" a="1"/>
  <c r="AQ19" i="6" a="1"/>
  <c r="AP19" i="6" a="1"/>
  <c r="AP8" i="6" a="1"/>
  <c r="AQ33" i="6" a="1"/>
  <c r="AP18" i="6" a="1"/>
  <c r="AP15" i="6" a="1"/>
  <c r="AQ17" i="6" a="1"/>
  <c r="AQ31" i="6" a="1"/>
  <c r="AP17" i="6" a="1"/>
  <c r="AP9" i="6" a="1"/>
  <c r="AP14" i="6" a="1"/>
  <c r="AP11" i="6" a="1"/>
  <c r="AQ9" i="6" a="1"/>
  <c r="AP22" i="6" a="1"/>
  <c r="AQ30" i="6" a="1"/>
  <c r="AP20" i="6" a="1"/>
  <c r="AQ10" i="6" a="1"/>
  <c r="AP13" i="6" a="1"/>
  <c r="AQ15" i="6" a="1"/>
  <c r="AP35" i="6" a="1"/>
  <c r="AQ28" i="6" a="1"/>
  <c r="AP16" i="6" a="1"/>
  <c r="AP7" i="6" a="1"/>
  <c r="AP27" i="6" a="1"/>
  <c r="AP28" i="6" a="1"/>
  <c r="AP31" i="6" a="1"/>
  <c r="AP34" i="6" a="1"/>
  <c r="AP12" i="6" a="1"/>
  <c r="AP26" i="6" a="1"/>
  <c r="AP6" i="6" a="1"/>
  <c r="AQ12" i="6" a="1"/>
  <c r="AQ8" i="6" a="1"/>
  <c r="AQ24" i="6" a="1"/>
  <c r="AP36" i="6" a="1"/>
  <c r="AQ18" i="6" a="1"/>
  <c r="AQ36" i="6" a="1"/>
  <c r="AQ7" i="6" a="1"/>
  <c r="AP32" i="6" a="1"/>
  <c r="AP21" i="6" a="1"/>
  <c r="AQ21" i="6" a="1"/>
  <c r="AQ27" i="6" a="1"/>
  <c r="AP30" i="6" a="1"/>
  <c r="AQ25" i="6" a="1"/>
  <c r="G24" i="6" a="1"/>
  <c r="G22" i="6" a="1"/>
  <c r="G29" i="6" a="1"/>
  <c r="G26" i="6" a="1"/>
  <c r="G25" i="6" a="1"/>
  <c r="G23" i="6" a="1"/>
  <c r="G19" i="6" a="1"/>
  <c r="G16" i="6" a="1"/>
  <c r="G20" i="6" a="1"/>
  <c r="G21" i="6" a="1"/>
  <c r="G15" i="6" a="1"/>
  <c r="G18" i="6" a="1"/>
  <c r="G17" i="6" a="1"/>
  <c r="G14" i="6" a="1"/>
  <c r="M8" i="6" l="1"/>
  <c r="M5" i="6" s="1"/>
  <c r="O8" i="6"/>
  <c r="O5" i="6" s="1"/>
  <c r="Q8" i="6"/>
  <c r="S8" i="6"/>
  <c r="S5" i="6" s="1"/>
  <c r="R8" i="6"/>
  <c r="C5" i="6"/>
  <c r="AP5" i="6"/>
  <c r="AN5" i="6" s="1"/>
  <c r="G15" i="6"/>
  <c r="G19" i="6"/>
  <c r="G26" i="6"/>
  <c r="G16" i="6"/>
  <c r="G20" i="6"/>
  <c r="G17" i="6"/>
  <c r="G29" i="6"/>
  <c r="G14" i="6"/>
  <c r="G18" i="6"/>
  <c r="AQ8" i="6"/>
  <c r="AP10" i="6"/>
  <c r="AN10" i="6" s="1"/>
  <c r="AQ13" i="6"/>
  <c r="AQ14" i="6"/>
  <c r="AQ15" i="6"/>
  <c r="AQ16" i="6"/>
  <c r="AQ17" i="6"/>
  <c r="AQ18" i="6"/>
  <c r="AQ19" i="6"/>
  <c r="AQ25" i="6"/>
  <c r="AQ27" i="6"/>
  <c r="AQ28" i="6"/>
  <c r="AQ29" i="6"/>
  <c r="AQ30" i="6"/>
  <c r="AP32" i="6"/>
  <c r="AN32" i="6" s="1"/>
  <c r="AQ34" i="6"/>
  <c r="AP36" i="6"/>
  <c r="AN36" i="6" s="1"/>
  <c r="AP6" i="6"/>
  <c r="AN6" i="6" s="1"/>
  <c r="AQ5" i="6"/>
  <c r="G8" i="6" s="1"/>
  <c r="G5" i="6" s="1"/>
  <c r="AQ7" i="6"/>
  <c r="AQ6" i="6"/>
  <c r="AQ9" i="6"/>
  <c r="AP11" i="6"/>
  <c r="AN11" i="6" s="1"/>
  <c r="AQ12" i="6"/>
  <c r="AP20" i="6"/>
  <c r="AN20" i="6" s="1"/>
  <c r="AP21" i="6"/>
  <c r="AN21" i="6" s="1"/>
  <c r="AP22" i="6"/>
  <c r="AN22" i="6" s="1"/>
  <c r="AP23" i="6"/>
  <c r="AN23" i="6" s="1"/>
  <c r="AP24" i="6"/>
  <c r="AN24" i="6" s="1"/>
  <c r="AQ26" i="6"/>
  <c r="AQ31" i="6"/>
  <c r="AP33" i="6"/>
  <c r="AN33" i="6" s="1"/>
  <c r="AQ35" i="6"/>
  <c r="AP7" i="6"/>
  <c r="AN7" i="6" s="1"/>
  <c r="AP8" i="6"/>
  <c r="AN8" i="6" s="1"/>
  <c r="AQ10" i="6"/>
  <c r="AP13" i="6"/>
  <c r="AN13" i="6" s="1"/>
  <c r="AP14" i="6"/>
  <c r="AN14" i="6" s="1"/>
  <c r="AP15" i="6"/>
  <c r="AN15" i="6" s="1"/>
  <c r="AP16" i="6"/>
  <c r="AN16" i="6" s="1"/>
  <c r="AP17" i="6"/>
  <c r="AN17" i="6" s="1"/>
  <c r="AP18" i="6"/>
  <c r="AN18" i="6" s="1"/>
  <c r="AP19" i="6"/>
  <c r="AN19" i="6" s="1"/>
  <c r="G21" i="6"/>
  <c r="G22" i="6"/>
  <c r="G23" i="6"/>
  <c r="G24" i="6"/>
  <c r="G25" i="6"/>
  <c r="AP25" i="6"/>
  <c r="AN25" i="6" s="1"/>
  <c r="AP27" i="6"/>
  <c r="AN27" i="6" s="1"/>
  <c r="AP28" i="6"/>
  <c r="AN28" i="6" s="1"/>
  <c r="AP29" i="6"/>
  <c r="AN29" i="6" s="1"/>
  <c r="AP30" i="6"/>
  <c r="AN30" i="6" s="1"/>
  <c r="AQ32" i="6"/>
  <c r="AP34" i="6"/>
  <c r="AN34" i="6" s="1"/>
  <c r="AQ36" i="6"/>
  <c r="AP9" i="6"/>
  <c r="AN9" i="6" s="1"/>
  <c r="AQ11" i="6"/>
  <c r="AP12" i="6"/>
  <c r="AN12" i="6" s="1"/>
  <c r="AQ20" i="6"/>
  <c r="AQ21" i="6"/>
  <c r="AQ22" i="6"/>
  <c r="AQ23" i="6"/>
  <c r="AQ24" i="6"/>
  <c r="AP26" i="6"/>
  <c r="AN26" i="6" s="1"/>
  <c r="AP31" i="6"/>
  <c r="AN31" i="6" s="1"/>
  <c r="AQ33" i="6"/>
  <c r="AP35" i="6"/>
  <c r="AN35" i="6" s="1"/>
  <c r="AP5" i="5"/>
  <c r="AP8" i="5"/>
  <c r="AP11" i="5"/>
  <c r="AP14" i="5"/>
  <c r="AP17" i="5"/>
  <c r="AP19" i="5"/>
  <c r="AP22" i="5"/>
  <c r="AP25" i="5"/>
  <c r="AP28" i="5"/>
  <c r="AP29" i="5"/>
  <c r="AP30" i="5"/>
  <c r="AP33" i="5"/>
  <c r="AP34" i="5"/>
  <c r="AP35" i="5"/>
  <c r="AP36" i="5"/>
  <c r="AP6" i="5"/>
  <c r="AP9" i="5"/>
  <c r="AP12" i="5"/>
  <c r="AP15" i="5"/>
  <c r="AP18" i="5"/>
  <c r="AP21" i="5"/>
  <c r="AP24" i="5"/>
  <c r="AP27" i="5"/>
  <c r="AP31" i="5"/>
  <c r="AQ5" i="5"/>
  <c r="G8" i="5" s="1"/>
  <c r="AQ6" i="5"/>
  <c r="AQ7" i="5"/>
  <c r="AQ8" i="5"/>
  <c r="AQ9" i="5"/>
  <c r="AQ10" i="5"/>
  <c r="AQ12" i="5"/>
  <c r="AQ13" i="5"/>
  <c r="AQ14" i="5"/>
  <c r="AQ15" i="5"/>
  <c r="AQ16" i="5"/>
  <c r="AQ17" i="5"/>
  <c r="AQ18" i="5"/>
  <c r="AQ19" i="5"/>
  <c r="AQ20" i="5"/>
  <c r="AQ21" i="5"/>
  <c r="AQ22" i="5"/>
  <c r="AQ23" i="5"/>
  <c r="AQ24" i="5"/>
  <c r="AQ25" i="5"/>
  <c r="AQ26" i="5"/>
  <c r="AQ27" i="5"/>
  <c r="AQ28" i="5"/>
  <c r="AQ29" i="5"/>
  <c r="AQ30" i="5"/>
  <c r="AQ31" i="5"/>
  <c r="AQ32" i="5"/>
  <c r="AQ33" i="5"/>
  <c r="AQ34" i="5"/>
  <c r="AQ35" i="5"/>
  <c r="AQ36" i="5"/>
  <c r="AP7" i="5"/>
  <c r="AP10" i="5"/>
  <c r="AP13" i="5"/>
  <c r="AP16" i="5"/>
  <c r="AP20" i="5"/>
  <c r="AP23" i="5"/>
  <c r="AP26" i="5"/>
  <c r="AP32" i="5"/>
  <c r="AQ11" i="5"/>
  <c r="Q5" i="6" l="1"/>
  <c r="AA27" i="6"/>
  <c r="AE27" i="6"/>
  <c r="AD27" i="6"/>
  <c r="AG27" i="6"/>
  <c r="AB27" i="6"/>
  <c r="J8" i="6"/>
  <c r="J5" i="6" s="1"/>
  <c r="L8" i="5"/>
  <c r="I8" i="5"/>
  <c r="H8" i="5"/>
  <c r="F8" i="5"/>
  <c r="E8" i="5"/>
  <c r="C5" i="5" s="1"/>
  <c r="S5" i="5"/>
  <c r="G5" i="5"/>
  <c r="AF27" i="6" l="1"/>
  <c r="AC27" i="6"/>
  <c r="C12" i="6"/>
  <c r="O5" i="5"/>
  <c r="M5" i="5"/>
  <c r="AN5" i="5"/>
  <c r="AN7" i="5"/>
  <c r="AN9" i="5"/>
  <c r="AN18" i="5"/>
  <c r="AN22" i="5"/>
  <c r="AN26" i="5"/>
  <c r="AN30" i="5"/>
  <c r="AN34" i="5"/>
  <c r="AN8" i="5"/>
  <c r="AN17" i="5"/>
  <c r="AN21" i="5"/>
  <c r="AN25" i="5"/>
  <c r="AN29" i="5"/>
  <c r="AN33" i="5"/>
  <c r="AN11" i="5"/>
  <c r="AN12" i="5"/>
  <c r="AN16" i="5"/>
  <c r="AN20" i="5"/>
  <c r="AN24" i="5"/>
  <c r="AN28" i="5"/>
  <c r="AN32" i="5"/>
  <c r="AN36" i="5"/>
  <c r="AN6" i="5"/>
  <c r="AN10" i="5"/>
  <c r="AN13" i="5"/>
  <c r="AN14" i="5"/>
  <c r="AN15" i="5"/>
  <c r="AN19" i="5"/>
  <c r="AN23" i="5"/>
  <c r="AN27" i="5"/>
  <c r="AN31" i="5"/>
  <c r="AN35" i="5"/>
  <c r="Q5" i="5"/>
  <c r="C13" i="6" a="1"/>
  <c r="G27" i="6" a="1"/>
  <c r="B28" i="6" l="1"/>
  <c r="C13" i="6"/>
  <c r="G27" i="6"/>
  <c r="J8" i="5"/>
  <c r="J5" i="5" s="1"/>
  <c r="C12" i="5" s="1"/>
  <c r="C13" i="5" a="1"/>
  <c r="C14" i="5"/>
  <c r="G28" i="6" a="1"/>
  <c r="G28" i="6" l="1"/>
  <c r="C13" i="5"/>
  <c r="AD3" i="1"/>
  <c r="AD5" i="1" s="1"/>
  <c r="AE3" i="1"/>
  <c r="AF3" i="1"/>
  <c r="AF5" i="1" s="1"/>
  <c r="AG3" i="1"/>
  <c r="AG5" i="1" s="1"/>
  <c r="AH3" i="1"/>
  <c r="AH5" i="1" s="1"/>
  <c r="AE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E7" i="1"/>
  <c r="AF6" i="1" a="1"/>
  <c r="AE6" i="1" a="1"/>
  <c r="H6" i="1" a="1"/>
  <c r="U6" i="1" a="1"/>
  <c r="D4" i="1" a="1"/>
  <c r="C4" i="1" a="1"/>
  <c r="R4" i="1" a="1"/>
  <c r="G6" i="1" a="1"/>
  <c r="F4" i="1" a="1"/>
  <c r="N7" i="1"/>
  <c r="H4" i="1" a="1"/>
  <c r="L6" i="1" a="1"/>
  <c r="AD6" i="1" a="1"/>
  <c r="C6" i="1" a="1"/>
  <c r="D7" i="1"/>
  <c r="Q6" i="1" a="1"/>
  <c r="X6" i="1" a="1"/>
  <c r="J6" i="1" a="1"/>
  <c r="T6" i="1" a="1"/>
  <c r="N6" i="1" a="1"/>
  <c r="O6" i="1" a="1"/>
  <c r="AH6" i="1" a="1"/>
  <c r="N4" i="1" a="1"/>
  <c r="V7" i="1"/>
  <c r="Y6" i="1" a="1"/>
  <c r="F7" i="1"/>
  <c r="Z4" i="1" a="1"/>
  <c r="R6" i="1" a="1"/>
  <c r="M6" i="1" a="1"/>
  <c r="AG6" i="1" a="1"/>
  <c r="V6" i="1" a="1"/>
  <c r="AA6" i="1" a="1"/>
  <c r="H7" i="1"/>
  <c r="S6" i="1" a="1"/>
  <c r="W6" i="1" a="1"/>
  <c r="P6" i="1" a="1"/>
  <c r="G4" i="1" a="1"/>
  <c r="G7" i="1"/>
  <c r="K6" i="1" a="1"/>
  <c r="C7" i="1"/>
  <c r="V4" i="1" a="1"/>
  <c r="F6" i="1" a="1"/>
  <c r="J7" i="1"/>
  <c r="AB6" i="1" a="1"/>
  <c r="Z6" i="1" a="1"/>
  <c r="D6" i="1" a="1"/>
  <c r="E6" i="1" a="1"/>
  <c r="I6" i="1" a="1"/>
  <c r="AC6" i="1" a="1"/>
  <c r="C4" i="1" l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Z4" i="1"/>
  <c r="R4" i="1"/>
  <c r="V4" i="1"/>
  <c r="N4" i="1"/>
  <c r="G4" i="1"/>
  <c r="H4" i="1"/>
  <c r="F4" i="1"/>
  <c r="D4" i="1"/>
  <c r="C6" i="1"/>
  <c r="U4" i="1" a="1"/>
  <c r="I7" i="1"/>
  <c r="AG7" i="1"/>
  <c r="Q4" i="1" a="1"/>
  <c r="L4" i="1" a="1"/>
  <c r="L7" i="1"/>
  <c r="Q7" i="1"/>
  <c r="K4" i="1" a="1"/>
  <c r="AD7" i="1"/>
  <c r="AB4" i="1" a="1"/>
  <c r="AH7" i="1"/>
  <c r="E4" i="1" a="1"/>
  <c r="AA7" i="1"/>
  <c r="AG4" i="1" a="1"/>
  <c r="S4" i="1" a="1"/>
  <c r="M4" i="1" a="1"/>
  <c r="O7" i="1"/>
  <c r="AB7" i="1"/>
  <c r="M7" i="1"/>
  <c r="W4" i="1" a="1"/>
  <c r="Z7" i="1"/>
  <c r="K7" i="1"/>
  <c r="X4" i="1" a="1"/>
  <c r="AC4" i="1" a="1"/>
  <c r="AF4" i="1" a="1"/>
  <c r="R7" i="1"/>
  <c r="AH4" i="1" a="1"/>
  <c r="J4" i="1" a="1"/>
  <c r="I4" i="1" a="1"/>
  <c r="W7" i="1"/>
  <c r="AE4" i="1" a="1"/>
  <c r="AA4" i="1" a="1"/>
  <c r="P7" i="1"/>
  <c r="O4" i="1" a="1"/>
  <c r="Y4" i="1" a="1"/>
  <c r="S7" i="1"/>
  <c r="Y7" i="1"/>
  <c r="U7" i="1"/>
  <c r="AF7" i="1"/>
  <c r="T7" i="1"/>
  <c r="AC7" i="1"/>
  <c r="T4" i="1" a="1"/>
  <c r="X7" i="1"/>
  <c r="AD4" i="1" a="1"/>
  <c r="P4" i="1" a="1"/>
  <c r="AE7" i="1"/>
  <c r="E4" i="1" l="1"/>
  <c r="AF4" i="1"/>
  <c r="J4" i="1"/>
  <c r="AG4" i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<sst xmlns="http://schemas.openxmlformats.org/spreadsheetml/2006/main" count="833" uniqueCount="244">
  <si>
    <t>DV String</t>
  </si>
  <si>
    <t>EDID Checksum</t>
  </si>
  <si>
    <t>Max Lum</t>
  </si>
  <si>
    <t>Max Lum #</t>
  </si>
  <si>
    <t>Max Lum DVVal</t>
  </si>
  <si>
    <t>Patch 74A0</t>
  </si>
  <si>
    <t>01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</si>
  <si>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</si>
  <si>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</si>
  <si>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</si>
  <si>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</si>
  <si>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</si>
  <si>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</si>
  <si>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</si>
  <si>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</si>
  <si>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</si>
  <si>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</si>
  <si>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</si>
  <si>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</si>
  <si>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</si>
  <si>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</si>
  <si>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</si>
  <si>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</si>
  <si>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</si>
  <si>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</si>
  <si>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</si>
  <si>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75 nits</t>
  </si>
  <si>
    <t>100 nits</t>
  </si>
  <si>
    <t>10</t>
  </si>
  <si>
    <t>11</t>
  </si>
  <si>
    <t>Disabled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</si>
  <si>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</si>
  <si>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</si>
  <si>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</si>
  <si>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</si>
  <si>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</si>
  <si>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</si>
  <si>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</si>
  <si>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</si>
  <si>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</si>
  <si>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</si>
  <si>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</si>
  <si>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</si>
  <si>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</si>
  <si>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</si>
  <si>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</si>
  <si>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</si>
  <si>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</si>
  <si>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</si>
  <si>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</si>
  <si>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</si>
  <si>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</si>
  <si>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</si>
  <si>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</si>
  <si>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</si>
  <si>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</si>
  <si>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</si>
  <si>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</si>
  <si>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</si>
  <si>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</si>
  <si>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</si>
  <si>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</si>
  <si>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</si>
  <si>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</si>
  <si>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</si>
  <si>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EB0146D000</t>
  </si>
  <si>
    <t>Standard
Header</t>
  </si>
  <si>
    <t>MaxL nits</t>
  </si>
  <si>
    <t>MinL nits</t>
  </si>
  <si>
    <t>Patch 8210</t>
  </si>
  <si>
    <t>C:\exes\gd32\EZ-EX11HAS-PRO_APP_DFU_GD32_Ver2.05(5416).hex</t>
  </si>
  <si>
    <t>LS12000 Native</t>
  </si>
  <si>
    <t>C:\exes\gd32\ezcoo_ex11has-pro_ls12000gamut_ML385.hex</t>
  </si>
  <si>
    <t>EDID</t>
  </si>
  <si>
    <t>Block 0</t>
  </si>
  <si>
    <t>34</t>
  </si>
  <si>
    <t>04</t>
  </si>
  <si>
    <t>19</t>
  </si>
  <si>
    <t>03</t>
  </si>
  <si>
    <t>80</t>
  </si>
  <si>
    <t>73</t>
  </si>
  <si>
    <t>41</t>
  </si>
  <si>
    <t>78</t>
  </si>
  <si>
    <t>74</t>
  </si>
  <si>
    <t>57</t>
  </si>
  <si>
    <t>23</t>
  </si>
  <si>
    <t>09</t>
  </si>
  <si>
    <t>48</t>
  </si>
  <si>
    <t>21</t>
  </si>
  <si>
    <t>08</t>
  </si>
  <si>
    <t>81</t>
  </si>
  <si>
    <t>45</t>
  </si>
  <si>
    <t>40</t>
  </si>
  <si>
    <t>61</t>
  </si>
  <si>
    <t>95</t>
  </si>
  <si>
    <t>30</t>
  </si>
  <si>
    <t>70</t>
  </si>
  <si>
    <t>58</t>
  </si>
  <si>
    <t>50</t>
  </si>
  <si>
    <t>02</t>
  </si>
  <si>
    <t>18</t>
  </si>
  <si>
    <t>71</t>
  </si>
  <si>
    <t>38</t>
  </si>
  <si>
    <t>43</t>
  </si>
  <si>
    <t>33</t>
  </si>
  <si>
    <t>20</t>
  </si>
  <si>
    <t>87</t>
  </si>
  <si>
    <t>Block 1</t>
  </si>
  <si>
    <t>53</t>
  </si>
  <si>
    <t>60</t>
  </si>
  <si>
    <t>65</t>
  </si>
  <si>
    <t>66</t>
  </si>
  <si>
    <t>05</t>
  </si>
  <si>
    <t>07</t>
  </si>
  <si>
    <t>12</t>
  </si>
  <si>
    <t>13</t>
  </si>
  <si>
    <t>14</t>
  </si>
  <si>
    <t>16</t>
  </si>
  <si>
    <t>22</t>
  </si>
  <si>
    <t>32</t>
  </si>
  <si>
    <t>15</t>
  </si>
  <si>
    <t>67</t>
  </si>
  <si>
    <t>83</t>
  </si>
  <si>
    <t>06</t>
  </si>
  <si>
    <t>eb</t>
  </si>
  <si>
    <t>46</t>
  </si>
  <si>
    <t>96</t>
  </si>
  <si>
    <t>EDID Analyzer</t>
  </si>
  <si>
    <t>EDID Decode (xs4all.nl)</t>
  </si>
  <si>
    <t>Old Size Dec</t>
  </si>
  <si>
    <t>New Size Hex</t>
  </si>
  <si>
    <t>D0</t>
  </si>
  <si>
    <t>0A</t>
  </si>
  <si>
    <t>8A</t>
  </si>
  <si>
    <t>2D</t>
  </si>
  <si>
    <t>C4</t>
  </si>
  <si>
    <t>8C</t>
  </si>
  <si>
    <t>E0</t>
  </si>
  <si>
    <t>3E</t>
  </si>
  <si>
    <t>8E</t>
  </si>
  <si>
    <t>84</t>
  </si>
  <si>
    <t>8b</t>
  </si>
  <si>
    <t>90</t>
  </si>
  <si>
    <t>Atmos String</t>
  </si>
  <si>
    <t>e6</t>
  </si>
  <si>
    <t>HDR10+ String</t>
  </si>
  <si>
    <t>e5</t>
  </si>
  <si>
    <t>C:\exes\ez_dv_edid_fw\EX11HAS-PRO\ezcoo_fw_LS12000 Native_ML447.hex</t>
  </si>
  <si>
    <t>ff</t>
  </si>
  <si>
    <t>a3</t>
  </si>
  <si>
    <t>0a</t>
  </si>
  <si>
    <t>cf</t>
  </si>
  <si>
    <t>4c</t>
  </si>
  <si>
    <t>b0</t>
  </si>
  <si>
    <t>e8</t>
  </si>
  <si>
    <t>f2</t>
  </si>
  <si>
    <t>5a</t>
  </si>
  <si>
    <t>8a</t>
  </si>
  <si>
    <t>1d</t>
  </si>
  <si>
    <t>1e</t>
  </si>
  <si>
    <t>3a</t>
  </si>
  <si>
    <t>2d</t>
  </si>
  <si>
    <t>2c</t>
  </si>
  <si>
    <t>fc</t>
  </si>
  <si>
    <t>4d</t>
  </si>
  <si>
    <t>4f</t>
  </si>
  <si>
    <t>fd</t>
  </si>
  <si>
    <t>4b</t>
  </si>
  <si>
    <t>0f</t>
  </si>
  <si>
    <t>3c</t>
  </si>
  <si>
    <t>5d</t>
  </si>
  <si>
    <t>1f</t>
  </si>
  <si>
    <t>3f</t>
  </si>
  <si>
    <t>7f</t>
  </si>
  <si>
    <t>3d</t>
  </si>
  <si>
    <t>5f</t>
  </si>
  <si>
    <t>7e</t>
  </si>
  <si>
    <t>e3</t>
  </si>
  <si>
    <t>c0</t>
  </si>
  <si>
    <t>6e</t>
  </si>
  <si>
    <t>0c</t>
  </si>
  <si>
    <t>e2</t>
  </si>
  <si>
    <t>d8</t>
  </si>
  <si>
    <t>c4</t>
  </si>
  <si>
    <t>d0</t>
  </si>
  <si>
    <t>26</t>
  </si>
  <si>
    <t>75</t>
  </si>
  <si>
    <t>5b</t>
  </si>
  <si>
    <t>6c</t>
  </si>
  <si>
    <t>8c</t>
  </si>
  <si>
    <t>e0</t>
  </si>
  <si>
    <t>3e</t>
  </si>
  <si>
    <t>8e</t>
  </si>
  <si>
    <t>e4</t>
  </si>
  <si>
    <t>:10814000FFFFFFFFFF0034A30100010000000419</t>
  </si>
  <si>
    <t>:108150000103807341780ACF74A3574CB0230948</t>
  </si>
  <si>
    <t>:108160004C210800818045406140950001010101</t>
  </si>
  <si>
    <t>:108170000101010108E80030F2705A80B0588A00</t>
  </si>
  <si>
    <t>:10818000501D7400001E023A801871382D40582C</t>
  </si>
  <si>
    <t>:108190004500501D7400001E000000FC004D4543</t>
  </si>
  <si>
    <t>:1081A0002D4F2D332D480A202020000000FD0018</t>
  </si>
  <si>
    <t>:1081B0004B0F873C000A20202020202001480203</t>
  </si>
  <si>
    <t>:1081C0005DF25361606566010304050710121314</t>
  </si>
  <si>
    <t>:1081D000161F20223F40320F7F073D1E50150750</t>
  </si>
  <si>
    <t>:1081E0005F7E01570701677E03835F0000E305C0</t>
  </si>
  <si>
    <t>:1081F000006E030C001000383C20808001020304</t>
  </si>
  <si>
    <t>:10820000E20F0F67D85DC401788003E3060501EB</t>
  </si>
  <si>
    <t>:108210000146D000260A0975805B6C8C0AD08A20</t>
  </si>
  <si>
    <t>:10822000E02D10103E9600C48E21000018000000</t>
  </si>
  <si>
    <t>:1082300000000000000000000000000000E400FF</t>
  </si>
  <si>
    <t>:10813000468F3300501D7400001E0000008600FF</t>
  </si>
  <si>
    <t>HDR10+:</t>
  </si>
  <si>
    <t>HDR10+</t>
  </si>
  <si>
    <t>Y</t>
  </si>
  <si>
    <t>N</t>
  </si>
  <si>
    <t>Post CTA-861</t>
  </si>
  <si>
    <t>(note that this EDID already had DV, need to add 12 more if DV string is added)</t>
  </si>
  <si>
    <t>EDID 30</t>
  </si>
  <si>
    <t>0e</t>
  </si>
  <si>
    <t>76</t>
  </si>
  <si>
    <t>a8</t>
  </si>
  <si>
    <t>a0</t>
  </si>
  <si>
    <t>de</t>
  </si>
  <si>
    <t>54</t>
  </si>
  <si>
    <t>99</t>
  </si>
  <si>
    <t>63</t>
  </si>
  <si>
    <t>4e</t>
  </si>
  <si>
    <t>4a</t>
  </si>
  <si>
    <t>27</t>
  </si>
  <si>
    <t>f0</t>
  </si>
  <si>
    <t>db</t>
  </si>
  <si>
    <t>da</t>
  </si>
  <si>
    <t>5e</t>
  </si>
  <si>
    <t>62</t>
  </si>
  <si>
    <t>72</t>
  </si>
  <si>
    <t>b8</t>
  </si>
  <si>
    <t>44</t>
  </si>
  <si>
    <t>42</t>
  </si>
  <si>
    <t>68</t>
  </si>
  <si>
    <t>fb</t>
  </si>
  <si>
    <t>0d</t>
  </si>
  <si>
    <t>3b</t>
  </si>
  <si>
    <t>C:\exes\ez_dv_edid_fw\SW21HA21\ezcoo_sw21ha21_force_edid30.hex</t>
  </si>
  <si>
    <t>C:\exes\ez_dv_edid_fw\SW21HA21\ezcoo_sw21ha21_CS-LS12000 Native_ML-385_hdr10+_120hz.hex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</si>
</sst>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onsolas"/>
      <family val="3"/>
    </font>
    <font>
      <b/>
      <sz val="11"/>
      <color theme="4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4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2" borderId="17" xfId="0" applyFill="1" applyBorder="1" applyAlignment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7" xfId="0" quotePrefix="1" applyBorder="1" applyAlignment="1" applyProtection="1">
      <alignment horizontal="center"/>
      <protection locked="0"/>
    </xf>
    <xf numFmtId="0" fontId="0" fillId="0" borderId="18" xfId="0" applyBorder="1" applyAlignment="1" applyProtection="1">
      <alignment horizontal="center"/>
      <protection locked="0"/>
    </xf>
    <xf numFmtId="0" fontId="0" fillId="2" borderId="14" xfId="0" quotePrefix="1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4" fontId="0" fillId="0" borderId="0" xfId="0" applyNumberFormat="1"/>
    <xf numFmtId="0" fontId="0" fillId="2" borderId="24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0" fillId="0" borderId="1" xfId="0" applyNumberFormat="1" applyBorder="1" applyAlignment="1" applyProtection="1">
      <alignment horizontal="center"/>
      <protection locked="0"/>
    </xf>
    <xf numFmtId="0" fontId="0" fillId="2" borderId="2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22" xfId="0" applyFont="1" applyFill="1" applyBorder="1"/>
    <xf numFmtId="0" fontId="0" fillId="0" borderId="19" xfId="0" applyBorder="1" applyAlignment="1" applyProtection="1">
      <alignment horizontal="center"/>
      <protection locked="0"/>
    </xf>
    <xf numFmtId="0" fontId="0" fillId="0" borderId="23" xfId="0" applyBorder="1" applyProtection="1">
      <protection locked="0"/>
    </xf>
    <xf numFmtId="0" fontId="0" fillId="0" borderId="0" xfId="0" applyProtection="1">
      <protection locked="0"/>
    </xf>
    <xf numFmtId="0" fontId="0" fillId="2" borderId="0" xfId="0" applyFill="1"/>
    <xf numFmtId="0" fontId="0" fillId="0" borderId="3" xfId="0" applyBorder="1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2" borderId="2" xfId="0" applyFill="1" applyBorder="1"/>
    <xf numFmtId="0" fontId="1" fillId="2" borderId="0" xfId="0" applyFont="1" applyFill="1" applyAlignment="1">
      <alignment horizontal="right"/>
    </xf>
    <xf numFmtId="0" fontId="1" fillId="2" borderId="5" xfId="0" applyFont="1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26" xfId="0" applyFill="1" applyBorder="1"/>
    <xf numFmtId="0" fontId="0" fillId="3" borderId="27" xfId="0" applyFill="1" applyBorder="1"/>
    <xf numFmtId="0" fontId="0" fillId="2" borderId="27" xfId="0" applyFill="1" applyBorder="1"/>
    <xf numFmtId="0" fontId="0" fillId="2" borderId="26" xfId="0" applyFill="1" applyBorder="1"/>
    <xf numFmtId="0" fontId="0" fillId="2" borderId="3" xfId="0" applyFill="1" applyBorder="1"/>
    <xf numFmtId="0" fontId="0" fillId="2" borderId="4" xfId="0" applyFill="1" applyBorder="1"/>
    <xf numFmtId="0" fontId="2" fillId="3" borderId="29" xfId="0" applyFont="1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quotePrefix="1" applyFill="1" applyBorder="1" applyAlignment="1">
      <alignment horizontal="center"/>
    </xf>
    <xf numFmtId="0" fontId="0" fillId="2" borderId="24" xfId="0" applyFill="1" applyBorder="1"/>
    <xf numFmtId="0" fontId="2" fillId="3" borderId="32" xfId="0" applyFont="1" applyFill="1" applyBorder="1" applyAlignment="1">
      <alignment horizontal="center" vertical="center" wrapText="1"/>
    </xf>
    <xf numFmtId="0" fontId="2" fillId="3" borderId="32" xfId="0" quotePrefix="1" applyFont="1" applyFill="1" applyBorder="1"/>
    <xf numFmtId="0" fontId="0" fillId="2" borderId="33" xfId="0" applyFill="1" applyBorder="1" applyAlignment="1">
      <alignment horizontal="center"/>
    </xf>
    <xf numFmtId="49" fontId="0" fillId="0" borderId="0" xfId="0" applyNumberFormat="1"/>
    <xf numFmtId="0" fontId="1" fillId="2" borderId="28" xfId="0" quotePrefix="1" applyFont="1" applyFill="1" applyBorder="1"/>
    <xf numFmtId="165" fontId="0" fillId="0" borderId="16" xfId="0" applyNumberFormat="1" applyBorder="1" applyAlignment="1">
      <alignment horizontal="center"/>
    </xf>
    <xf numFmtId="0" fontId="2" fillId="0" borderId="0" xfId="0" applyFont="1"/>
    <xf numFmtId="0" fontId="0" fillId="0" borderId="22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27" xfId="0" applyFont="1" applyFill="1" applyBorder="1"/>
    <xf numFmtId="0" fontId="1" fillId="2" borderId="0" xfId="0" applyFont="1" applyFill="1" applyAlignment="1">
      <alignment horizontal="left"/>
    </xf>
    <xf numFmtId="49" fontId="2" fillId="0" borderId="0" xfId="0" applyNumberFormat="1" applyFont="1"/>
    <xf numFmtId="0" fontId="0" fillId="0" borderId="0" xfId="0" applyAlignment="1">
      <alignment horizontal="left"/>
    </xf>
    <xf numFmtId="0" fontId="4" fillId="0" borderId="0" xfId="1"/>
    <xf numFmtId="0" fontId="1" fillId="2" borderId="28" xfId="0" applyFont="1" applyFill="1" applyBorder="1"/>
    <xf numFmtId="0" fontId="1" fillId="2" borderId="5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0" xfId="0" quotePrefix="1" applyNumberFormat="1"/>
    <xf numFmtId="0" fontId="0" fillId="0" borderId="23" xfId="0" applyBorder="1" applyAlignment="1" applyProtection="1">
      <alignment horizontal="center"/>
      <protection locked="0"/>
    </xf>
    <xf numFmtId="0" fontId="0" fillId="2" borderId="35" xfId="0" applyFill="1" applyBorder="1" applyAlignment="1">
      <alignment horizontal="center"/>
    </xf>
    <xf numFmtId="0" fontId="5" fillId="0" borderId="0" xfId="0" applyFont="1" applyAlignment="1">
      <alignment horizontal="left"/>
    </xf>
    <xf numFmtId="0" fontId="1" fillId="2" borderId="36" xfId="0" applyFont="1" applyFill="1" applyBorder="1" applyAlignment="1">
      <alignment horizontal="left"/>
    </xf>
    <xf numFmtId="0" fontId="2" fillId="3" borderId="8" xfId="0" quotePrefix="1" applyFont="1" applyFill="1" applyBorder="1" applyAlignment="1">
      <alignment horizontal="center"/>
    </xf>
    <xf numFmtId="0" fontId="2" fillId="3" borderId="9" xfId="0" quotePrefix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3" borderId="7" xfId="0" quotePrefix="1" applyFont="1" applyFill="1" applyBorder="1" applyAlignment="1">
      <alignment horizontal="center"/>
    </xf>
    <xf numFmtId="49" fontId="0" fillId="0" borderId="0" xfId="0" applyNumberFormat="1" applyFont="1"/>
    <xf numFmtId="49" fontId="6" fillId="0" borderId="0" xfId="0" applyNumberFormat="1" applyFont="1"/>
    <xf numFmtId="0" fontId="6" fillId="0" borderId="0" xfId="0" applyNumberFormat="1" applyFont="1"/>
    <xf numFmtId="49" fontId="7" fillId="0" borderId="0" xfId="0" applyNumberFormat="1" applyFont="1"/>
    <xf numFmtId="0" fontId="6" fillId="0" borderId="0" xfId="0" applyFont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0" fontId="7" fillId="0" borderId="0" xfId="0" applyNumberFormat="1" applyFont="1" applyAlignment="1">
      <alignment horizontal="left"/>
    </xf>
  </cellXfs>
  <cellStyles count="2">
    <cellStyle name="Hyperlink" xfId="1" builtinId="8"/>
    <cellStyle name="Normal" xfId="0" builtinId="0"/>
  </cellStyles>
  <dxfs count="15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6383819C-64AF-45A3-9C2D-DC47D4822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03CF4D-DD22-4CCF-8D6E-F45FA5D5B0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A5D230E-81C1-4C73-9900-199C3969DE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BFC-47C3-A47E-116220FB33EF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C408FC5E-5E7F-4E80-8147-566F62C1DF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'Custom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CBFC-47C3-A47E-116220FB33EF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8754399-958C-40AF-96A7-A9C0AA9A9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C005BB8-8A5E-4C8A-B7A3-3D1D154321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BFC-47C3-A47E-116220FB33E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87D43E6-F658-4495-9433-69565CF46F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BFC-47C3-A47E-116220FB33E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A2DD8FC-8739-4405-8D37-0360ABD351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'Custom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CBFC-47C3-A47E-116220FB33EF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BB25CA7C-AD31-46E1-869F-3082CB0AE5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CBFC-47C3-A47E-116220FB33E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1F1AB9D-D8DE-4894-955C-29AB622960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BFC-47C3-A47E-116220FB33EF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7D81BF6A-4185-4B6F-8C94-5443882F0C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CBFC-47C3-A47E-116220FB33EF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A171D710-8281-4D88-B32A-6C51F5EF1F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CBFC-47C3-A47E-116220FB33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'Custom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'Custom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'Custom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CBFC-47C3-A47E-116220FB33EF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Red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40987812700449E-2"/>
                  <c:y val="0"/>
                </c:manualLayout>
              </c:layout>
              <c:tx>
                <c:rich>
                  <a:bodyPr/>
                  <a:lstStyle/>
                  <a:p>
                    <a:fld id="{9D46FF44-08BB-403E-ACF8-DF131DDE93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CA5FB53-BAE0-401B-BDF4-062BB4F195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2E1022-A2F6-46F0-B94C-D56B1860CF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B2-4B84-BF11-4BF1142CD732}"/>
                </c:ext>
              </c:extLst>
            </c:dLbl>
            <c:dLbl>
              <c:idx val="3"/>
              <c:layout>
                <c:manualLayout>
                  <c:x val="-2.204939063502245E-2"/>
                  <c:y val="-2.7878449958182325E-2"/>
                </c:manualLayout>
              </c:layout>
              <c:tx>
                <c:rich>
                  <a:bodyPr/>
                  <a:lstStyle/>
                  <a:p>
                    <a:fld id="{4E95AA30-615E-4DE9-87A2-6A00AE6EB4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EDID-EZCOO'!$AV$15:$AV$18</c:f>
              <c:numCache>
                <c:formatCode>0.0000</c:formatCode>
                <c:ptCount val="4"/>
                <c:pt idx="0">
                  <c:v>0.64</c:v>
                </c:pt>
                <c:pt idx="1">
                  <c:v>0.70799999999999996</c:v>
                </c:pt>
                <c:pt idx="2">
                  <c:v>0.68</c:v>
                </c:pt>
                <c:pt idx="3">
                  <c:v>0.66700000000000004</c:v>
                </c:pt>
              </c:numCache>
            </c:numRef>
          </c:xVal>
          <c:yVal>
            <c:numRef>
              <c:f>'Original EDID-EZCOO'!$AW$15:$AW$18</c:f>
              <c:numCache>
                <c:formatCode>0.0000</c:formatCode>
                <c:ptCount val="4"/>
                <c:pt idx="0">
                  <c:v>0.33</c:v>
                </c:pt>
                <c:pt idx="1">
                  <c:v>0.29199999999999998</c:v>
                </c:pt>
                <c:pt idx="2">
                  <c:v>0.32</c:v>
                </c:pt>
                <c:pt idx="3">
                  <c:v>0.33100000000000002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93B2-4B84-BF11-4BF1142CD732}"/>
            </c:ext>
          </c:extLst>
        </c:ser>
        <c:ser>
          <c:idx val="1"/>
          <c:order val="1"/>
          <c:tx>
            <c:v>Green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55E9F3C-0A62-493A-9351-028185EAD2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335554B-2136-4785-84C0-CC4B50325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B2-4B84-BF11-4BF1142CD73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91BCCE4-153E-43E6-BBA7-92D48DC3EA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B2-4B84-BF11-4BF1142CD73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D546CBE-023C-47AC-B8C8-83826B3A87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EDID-EZCOO'!$AX$15:$AX$18</c:f>
              <c:numCache>
                <c:formatCode>0.0000</c:formatCode>
                <c:ptCount val="4"/>
                <c:pt idx="0">
                  <c:v>0.3</c:v>
                </c:pt>
                <c:pt idx="1">
                  <c:v>0.17</c:v>
                </c:pt>
                <c:pt idx="2">
                  <c:v>0.26500000000000001</c:v>
                </c:pt>
                <c:pt idx="3">
                  <c:v>0.314</c:v>
                </c:pt>
              </c:numCache>
            </c:numRef>
          </c:xVal>
          <c:yVal>
            <c:numRef>
              <c:f>'Original EDID-EZCOO'!$AY$15:$AY$18</c:f>
              <c:numCache>
                <c:formatCode>0.0000</c:formatCode>
                <c:ptCount val="4"/>
                <c:pt idx="0">
                  <c:v>0.6</c:v>
                </c:pt>
                <c:pt idx="1">
                  <c:v>0.79700000000000004</c:v>
                </c:pt>
                <c:pt idx="2">
                  <c:v>0.69</c:v>
                </c:pt>
                <c:pt idx="3">
                  <c:v>0.67200000000000004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93B2-4B84-BF11-4BF1142CD732}"/>
            </c:ext>
          </c:extLst>
        </c:ser>
        <c:ser>
          <c:idx val="2"/>
          <c:order val="2"/>
          <c:tx>
            <c:v>Blue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1051956382296383E-2"/>
                  <c:y val="-1.2196821856704768E-2"/>
                </c:manualLayout>
              </c:layout>
              <c:tx>
                <c:rich>
                  <a:bodyPr/>
                  <a:lstStyle/>
                  <a:p>
                    <a:fld id="{52D788BB-62AD-4F60-839E-176E598DA0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3B2-4B84-BF11-4BF1142CD73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D48FDFD-7C8A-4EC3-9B50-786792EFA7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B2-4B84-BF11-4BF1142CD732}"/>
                </c:ext>
              </c:extLst>
            </c:dLbl>
            <c:dLbl>
              <c:idx val="2"/>
              <c:layout>
                <c:manualLayout>
                  <c:x val="-1.5604955099422706E-2"/>
                  <c:y val="-5.0529690549205593E-2"/>
                </c:manualLayout>
              </c:layout>
              <c:tx>
                <c:rich>
                  <a:bodyPr/>
                  <a:lstStyle/>
                  <a:p>
                    <a:fld id="{AEF023CE-EA28-464B-83E7-73D0E3FB78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93B2-4B84-BF11-4BF1142CD732}"/>
                </c:ext>
              </c:extLst>
            </c:dLbl>
            <c:dLbl>
              <c:idx val="3"/>
              <c:layout>
                <c:manualLayout>
                  <c:x val="5.512347658755576E-3"/>
                  <c:y val="8.712015611931849E-3"/>
                </c:manualLayout>
              </c:layout>
              <c:tx>
                <c:rich>
                  <a:bodyPr/>
                  <a:lstStyle/>
                  <a:p>
                    <a:fld id="{19F6D8F1-8BAF-498E-93A5-E76142116B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93B2-4B84-BF11-4BF1142CD7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'Original EDID-EZCOO'!$AZ$15:$AZ$18</c:f>
              <c:numCache>
                <c:formatCode>0.0000</c:formatCode>
                <c:ptCount val="4"/>
                <c:pt idx="0">
                  <c:v>0.15</c:v>
                </c:pt>
                <c:pt idx="1">
                  <c:v>0.13100000000000001</c:v>
                </c:pt>
                <c:pt idx="2">
                  <c:v>0.15</c:v>
                </c:pt>
                <c:pt idx="3">
                  <c:v>0.14799999999999999</c:v>
                </c:pt>
              </c:numCache>
            </c:numRef>
          </c:xVal>
          <c:yVal>
            <c:numRef>
              <c:f>'Original EDID-EZCOO'!$BA$15:$BA$18</c:f>
              <c:numCache>
                <c:formatCode>0.0000</c:formatCode>
                <c:ptCount val="4"/>
                <c:pt idx="0">
                  <c:v>0.06</c:v>
                </c:pt>
                <c:pt idx="1">
                  <c:v>4.5999999999999999E-2</c:v>
                </c:pt>
                <c:pt idx="2">
                  <c:v>0.06</c:v>
                </c:pt>
                <c:pt idx="3">
                  <c:v>4.2000000000000003E-2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'Original EDID-EZCOO'!$AU$15:$AU$18</c15:f>
                <c15:dlblRangeCache>
                  <c:ptCount val="4"/>
                  <c:pt idx="0">
                    <c:v>BT709</c:v>
                  </c:pt>
                  <c:pt idx="1">
                    <c:v>BT2020</c:v>
                  </c:pt>
                  <c:pt idx="2">
                    <c:v>DCI-P3</c:v>
                  </c:pt>
                  <c:pt idx="3">
                    <c:v>LS12000 Native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93B2-4B84-BF11-4BF1142CD73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2126941184"/>
        <c:axId val="2126942144"/>
      </c:scatterChart>
      <c:valAx>
        <c:axId val="2126941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2144"/>
        <c:crosses val="autoZero"/>
        <c:crossBetween val="midCat"/>
      </c:valAx>
      <c:valAx>
        <c:axId val="2126942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941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9</xdr:row>
          <xdr:rowOff>7315</xdr:rowOff>
        </xdr:from>
        <xdr:to>
          <xdr:col>3</xdr:col>
          <xdr:colOff>2991917</xdr:colOff>
          <xdr:row>12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9</xdr:row>
          <xdr:rowOff>7315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892454</xdr:colOff>
          <xdr:row>10</xdr:row>
          <xdr:rowOff>0</xdr:rowOff>
        </xdr:from>
        <xdr:to>
          <xdr:col>2</xdr:col>
          <xdr:colOff>0</xdr:colOff>
          <xdr:row>10</xdr:row>
          <xdr:rowOff>182880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9</xdr:row>
          <xdr:rowOff>7315</xdr:rowOff>
        </xdr:from>
        <xdr:to>
          <xdr:col>1</xdr:col>
          <xdr:colOff>1031443</xdr:colOff>
          <xdr:row>10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775411</xdr:colOff>
          <xdr:row>10</xdr:row>
          <xdr:rowOff>0</xdr:rowOff>
        </xdr:from>
        <xdr:to>
          <xdr:col>1</xdr:col>
          <xdr:colOff>1031443</xdr:colOff>
          <xdr:row>11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...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468078</xdr:colOff>
      <xdr:row>46</xdr:row>
      <xdr:rowOff>112000</xdr:rowOff>
    </xdr:from>
    <xdr:to>
      <xdr:col>45</xdr:col>
      <xdr:colOff>496286</xdr:colOff>
      <xdr:row>85</xdr:row>
      <xdr:rowOff>179773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0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hverkuil.home.xs4all.nl/edid-decode/edid-decode.html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1"/>
  <sheetViews>
    <sheetView workbookViewId="0">
      <selection activeCell="C44" sqref="C44"/>
    </sheetView>
  </sheetViews>
  <sheetFormatPr defaultRowHeight="14.4" x14ac:dyDescent="0.3"/>
  <cols>
    <col min="2" max="2" width="17.3984375" customWidth="1"/>
    <col min="3" max="8" width="44.3984375" customWidth="1"/>
    <col min="12" max="12" width="32.7968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2" t="s">
        <v>5</v>
      </c>
      <c r="C7" s="1" t="str">
        <f>_xlfn.CONCAT(":1074A000060501",C$5,"8C",IntelHexChecksum(_xlfn.CONCAT("1074A000060501",C$5,"8C")))</f>
        <v>:1074A000060501EB0146D0004507015798A9538C0A</v>
      </c>
      <c r="D7" s="1" t="str">
        <f t="shared" ref="D7:AH7" si="2">_xlfn.CONCAT(":1074A000060501",D$5,"8C",IntelHexChecksum(_xlfn.CONCAT("1074A000060501",D$5,"8C")))</f>
        <v>:1074A000060501EB0146D0004507095798A9538C02</v>
      </c>
      <c r="E7" s="1" t="str">
        <f t="shared" si="2"/>
        <v>:1074A000060501EB0146D0004507115798A9538CFA</v>
      </c>
      <c r="F7" s="1" t="str">
        <f t="shared" si="2"/>
        <v>:1074A000060501EB0146D0004507195798A9538CF2</v>
      </c>
      <c r="G7" s="1" t="str">
        <f t="shared" si="2"/>
        <v>:1074A000060501EB0146D0004507215798A9538CEA</v>
      </c>
      <c r="H7" s="1" t="str">
        <f t="shared" si="2"/>
        <v>:1074A000060501EB0146D0004507295798A9538CE2</v>
      </c>
      <c r="I7" s="1" t="str">
        <f t="shared" si="2"/>
        <v>:1074A000060501EB0146D0004507315798A9538CDA</v>
      </c>
      <c r="J7" s="1" t="str">
        <f t="shared" si="2"/>
        <v>:1074A000060501EB0146D0004507395798A9538CD2</v>
      </c>
      <c r="K7" s="1" t="str">
        <f t="shared" si="2"/>
        <v>:1074A000060501EB0146D0004507415798A9538CCA</v>
      </c>
      <c r="L7" s="1" t="str">
        <f t="shared" si="2"/>
        <v>:1074A000060501EB0146D0004507495798A9538CC2</v>
      </c>
      <c r="M7" s="1" t="str">
        <f t="shared" si="2"/>
        <v>:1074A000060501EB0146D0004507515798A9538CBA</v>
      </c>
      <c r="N7" s="1" t="str">
        <f t="shared" si="2"/>
        <v>:1074A000060501EB0146D0004507595798A9538CB2</v>
      </c>
      <c r="O7" s="1" t="str">
        <f t="shared" si="2"/>
        <v>:1074A000060501EB0146D0004507615798A9538CAA</v>
      </c>
      <c r="P7" s="1" t="str">
        <f t="shared" si="2"/>
        <v>:1074A000060501EB0146D0004507695798A9538CA2</v>
      </c>
      <c r="Q7" s="1" t="str">
        <f t="shared" si="2"/>
        <v>:1074A000060501EB0146D0004507715798A9538C9A</v>
      </c>
      <c r="R7" s="1" t="str">
        <f t="shared" si="2"/>
        <v>:1074A000060501EB0146D0004507795798A9538C92</v>
      </c>
      <c r="S7" s="1" t="str">
        <f t="shared" si="2"/>
        <v>:1074A000060501EB0146D0004507815798A9538C8A</v>
      </c>
      <c r="T7" s="1" t="str">
        <f t="shared" si="2"/>
        <v>:1074A000060501EB0146D0004507895798A9538C82</v>
      </c>
      <c r="U7" s="1" t="str">
        <f t="shared" si="2"/>
        <v>:1074A000060501EB0146D0004507915798A9538C7A</v>
      </c>
      <c r="V7" s="1" t="str">
        <f t="shared" si="2"/>
        <v>:1074A000060501EB0146D0004507995798A9538C72</v>
      </c>
      <c r="W7" s="1" t="str">
        <f t="shared" si="2"/>
        <v>:1074A000060501EB0146D0004507A15798A9538C6A</v>
      </c>
      <c r="X7" s="1" t="str">
        <f t="shared" si="2"/>
        <v>:1074A000060501EB0146D0004507A95798A9538C62</v>
      </c>
      <c r="Y7" s="1" t="str">
        <f t="shared" si="2"/>
        <v>:1074A000060501EB0146D0004507B15798A9538C5A</v>
      </c>
      <c r="Z7" s="1" t="str">
        <f t="shared" si="2"/>
        <v>:1074A000060501EB0146D0004507B95798A9538C52</v>
      </c>
      <c r="AA7" s="1" t="str">
        <f t="shared" si="2"/>
        <v>:1074A000060501EB0146D0004507C15798A9538C4A</v>
      </c>
      <c r="AB7" s="1" t="str">
        <f t="shared" si="2"/>
        <v>:1074A000060501EB0146D0004507C95798A9538C42</v>
      </c>
      <c r="AC7" s="1" t="str">
        <f t="shared" si="2"/>
        <v>:1074A000060501EB0146D0004507D15798A9538C3A</v>
      </c>
      <c r="AD7" s="1" t="str">
        <f t="shared" si="2"/>
        <v>:1074A000060501EB0146D0004507D95798A9538C32</v>
      </c>
      <c r="AE7" s="1" t="str">
        <f t="shared" si="2"/>
        <v>:1074A000060501EB0146D0004507E15798A9538C2A</v>
      </c>
      <c r="AF7" s="1" t="str">
        <f t="shared" si="2"/>
        <v>:1074A000060501EB0146D0004507E95798A9538C22</v>
      </c>
      <c r="AG7" s="1" t="str">
        <f t="shared" si="2"/>
        <v>:1074A000060501EB0146D0004507F15798A9538C1A</v>
      </c>
      <c r="AH7" s="1" t="str">
        <f t="shared" si="2"/>
        <v>:1074A000060501EB0146D0004507F95798A9538C12</v>
      </c>
    </row>
    <row r="9" spans="2:34" x14ac:dyDescent="0.3">
      <c r="C9" s="1"/>
      <c r="D9" s="1"/>
      <c r="E9" s="1"/>
    </row>
    <row r="10" spans="2:34" x14ac:dyDescent="0.3">
      <c r="C10" s="4"/>
    </row>
    <row r="11" spans="2:34" x14ac:dyDescent="0.3">
      <c r="C11" s="4"/>
    </row>
    <row r="12" spans="2:34" x14ac:dyDescent="0.3">
      <c r="C12" s="4"/>
    </row>
    <row r="13" spans="2:34" x14ac:dyDescent="0.3">
      <c r="C13" s="4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9</xdr:row>
                    <xdr:rowOff>7315</xdr:rowOff>
                  </from>
                  <to>
                    <xdr:col>3</xdr:col>
                    <xdr:colOff>2991917</xdr:colOff>
                    <xdr:row>12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4ED48-9DD9-469A-B29F-B834345FCD31}">
  <sheetPr codeName="Sheet6"/>
  <dimension ref="B2:BB47"/>
  <sheetViews>
    <sheetView workbookViewId="0">
      <selection activeCell="C36" sqref="C36"/>
    </sheetView>
  </sheetViews>
  <sheetFormatPr defaultRowHeight="14.4" x14ac:dyDescent="0.3"/>
  <cols>
    <col min="2" max="2" width="15.59765625" customWidth="1"/>
    <col min="5" max="5" width="12.296875" customWidth="1"/>
    <col min="8" max="8" width="12.8984375" customWidth="1"/>
    <col min="9" max="9" width="14.5" customWidth="1"/>
    <col min="14" max="14" width="14.59765625" customWidth="1"/>
    <col min="16" max="16" width="13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3" t="str">
        <f>DEC2HEX(_xlfn.BITLSHIFT(BIN2DEC(C8),5)+_xlfn.BITLSHIFT(BIN2DEC(D8),2)+_xlfn.BITLSHIFT(BIN2DEC(E8),1)+BIN2DEC(F8))</f>
        <v>45</v>
      </c>
      <c r="D5" s="83"/>
      <c r="E5" s="83"/>
      <c r="F5" s="84"/>
      <c r="G5" s="85" t="str">
        <f>DEC2HEX(_xlfn.BITLSHIFT(BIN2DEC(G8),3)+_xlfn.BITLSHIFT(BIN2DEC(H8),2)+BIN2DEC(I8),2)</f>
        <v>03</v>
      </c>
      <c r="H5" s="81"/>
      <c r="I5" s="82"/>
      <c r="J5" s="85" t="str">
        <f>DEC2HEX(_xlfn.BITLSHIFT(BIN2DEC(J8),3)+_xlfn.BITLSHIFT(BIN2DEC(K8),1)+BIN2DEC(L8),2)</f>
        <v>48</v>
      </c>
      <c r="K5" s="81"/>
      <c r="L5" s="82"/>
      <c r="M5" s="81" t="str">
        <f>BIN2HEX(_xlfn.CONCAT(M8,N8),2)</f>
        <v>A1</v>
      </c>
      <c r="N5" s="82"/>
      <c r="O5" s="81" t="str">
        <f>BIN2HEX(_xlfn.CONCAT(O8,P8),2)</f>
        <v>58</v>
      </c>
      <c r="P5" s="82"/>
      <c r="Q5" s="81" t="str">
        <f>BIN2HEX(_xlfn.CONCAT(Q8,R8),2)</f>
        <v>55</v>
      </c>
      <c r="R5" s="82"/>
      <c r="S5" s="81" t="str">
        <f>BIN2HEX(_xlfn.CONCAT(S8,T8),2)</f>
        <v>A2</v>
      </c>
      <c r="T5" s="82"/>
      <c r="AN5" s="4">
        <f t="shared" ref="AN5:AN14" si="0"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7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16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AK8"/>
      <c r="AL8"/>
      <c r="AM8"/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72</v>
      </c>
      <c r="J11" s="40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EB0146D000450348A15855A2</v>
      </c>
      <c r="D12" s="50"/>
      <c r="E12" s="50"/>
      <c r="F12" s="50"/>
      <c r="G12" s="50"/>
      <c r="H12" s="50"/>
      <c r="I12" s="50"/>
      <c r="J12" s="51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58</v>
      </c>
      <c r="D13" s="36"/>
      <c r="E13" s="36"/>
      <c r="F13" s="36"/>
      <c r="G13" s="36"/>
      <c r="H13" s="36"/>
      <c r="I13" s="36"/>
      <c r="J13" s="41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ht="15" thickBot="1" x14ac:dyDescent="0.35">
      <c r="B14" s="60" t="s">
        <v>69</v>
      </c>
      <c r="C14" s="43" t="str">
        <f>_xlfn.CONCAT(":10821000", RIGHT($C$12,22), "8C0AD08A20",IntelHexChecksum(_xlfn.CONCAT("10821000", RIGHT($C$12,22), "8C0AD08A20")))</f>
        <v>:108210000146D000450348A15855A28C0AD08A20B7</v>
      </c>
      <c r="D14" s="44"/>
      <c r="E14" s="44"/>
      <c r="F14" s="44"/>
      <c r="G14" s="44"/>
      <c r="H14" s="44"/>
      <c r="I14" s="44"/>
      <c r="J14" s="45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C15" s="1"/>
      <c r="AN15" s="4">
        <f t="shared" ref="AN15:AN36" si="1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AN16" s="4">
        <f t="shared" si="1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40:54" x14ac:dyDescent="0.3">
      <c r="AN17" s="4">
        <f t="shared" si="1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40:54" x14ac:dyDescent="0.3">
      <c r="AN18" s="4">
        <f t="shared" si="1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40:54" x14ac:dyDescent="0.3">
      <c r="AN19" s="4">
        <f t="shared" si="1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40:54" x14ac:dyDescent="0.3">
      <c r="AN20" s="4">
        <f t="shared" si="1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40:54" x14ac:dyDescent="0.3">
      <c r="AN21" s="4">
        <f t="shared" si="1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40:54" x14ac:dyDescent="0.3">
      <c r="AN22" s="4">
        <f t="shared" si="1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40:54" x14ac:dyDescent="0.3">
      <c r="AN23" s="4">
        <f t="shared" si="1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40:54" x14ac:dyDescent="0.3">
      <c r="AN24" s="4">
        <f t="shared" si="1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40:54" x14ac:dyDescent="0.3">
      <c r="AN25" s="4">
        <f t="shared" si="1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40:54" x14ac:dyDescent="0.3">
      <c r="AN26" s="4">
        <f t="shared" si="1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40:54" x14ac:dyDescent="0.3">
      <c r="AN27" s="4">
        <f t="shared" si="1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40:54" x14ac:dyDescent="0.3">
      <c r="AN28" s="4">
        <f t="shared" si="1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40:54" x14ac:dyDescent="0.3">
      <c r="AN29" s="4">
        <f t="shared" si="1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40:54" x14ac:dyDescent="0.3">
      <c r="AN30" s="4">
        <f t="shared" si="1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40:54" x14ac:dyDescent="0.3">
      <c r="AN31" s="4">
        <f t="shared" si="1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40:54" x14ac:dyDescent="0.3">
      <c r="AN32" s="4">
        <f t="shared" si="1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40:43" x14ac:dyDescent="0.3">
      <c r="AN33" s="4">
        <f t="shared" si="1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40:43" x14ac:dyDescent="0.3">
      <c r="AN34" s="4">
        <f t="shared" si="1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40:43" x14ac:dyDescent="0.3">
      <c r="AN35" s="4">
        <f t="shared" si="1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40:43" x14ac:dyDescent="0.3">
      <c r="AN36" s="4">
        <f t="shared" si="1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40" spans="40:43" x14ac:dyDescent="0.3">
      <c r="AP40" s="59"/>
      <c r="AQ40" s="59"/>
    </row>
    <row r="41" spans="40:43" x14ac:dyDescent="0.3">
      <c r="AP41" s="59"/>
      <c r="AQ41" s="59"/>
    </row>
    <row r="42" spans="40:43" x14ac:dyDescent="0.3">
      <c r="AP42" s="59"/>
      <c r="AQ42" s="59"/>
    </row>
    <row r="43" spans="40:43" x14ac:dyDescent="0.3">
      <c r="AP43" s="59"/>
      <c r="AQ43" s="59"/>
    </row>
    <row r="44" spans="40:43" x14ac:dyDescent="0.3">
      <c r="AP44" s="59"/>
      <c r="AQ44" s="59"/>
    </row>
    <row r="45" spans="40:43" x14ac:dyDescent="0.3">
      <c r="AP45" s="59"/>
      <c r="AQ45" s="59"/>
    </row>
    <row r="46" spans="40:43" x14ac:dyDescent="0.3">
      <c r="AP46" s="59"/>
      <c r="AQ46" s="59"/>
    </row>
    <row r="47" spans="40:43" x14ac:dyDescent="0.3">
      <c r="AP47" s="59"/>
      <c r="AQ47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I7">
    <cfRule type="expression" dxfId="14" priority="8">
      <formula>$E$7="Not Supported"</formula>
    </cfRule>
  </conditionalFormatting>
  <conditionalFormatting sqref="P7">
    <cfRule type="expression" dxfId="13" priority="4">
      <formula>$N$7="Supported"</formula>
    </cfRule>
  </conditionalFormatting>
  <conditionalFormatting sqref="P7">
    <cfRule type="expression" dxfId="12" priority="3" stopIfTrue="1">
      <formula>IF(AND($N$7="Supported",$P$7="Supported"),TRUE,FALSE)</formula>
    </cfRule>
  </conditionalFormatting>
  <conditionalFormatting sqref="N7">
    <cfRule type="expression" dxfId="11" priority="2">
      <formula>$P$7="Supported"</formula>
    </cfRule>
  </conditionalFormatting>
  <conditionalFormatting sqref="N7">
    <cfRule type="expression" dxfId="10" priority="1" stopIfTrue="1">
      <formula>IF(AND($N$7="Supported",$P$7="Supported"),TRUE,FALSE)</formula>
    </cfRule>
  </conditionalFormatting>
  <dataValidations count="6">
    <dataValidation type="list" allowBlank="1" showInputMessage="1" showErrorMessage="1" sqref="J7" xr:uid="{7DD70907-19DB-4709-BDD5-CF855966FAC3}">
      <formula1>$AN$5:$AN$36</formula1>
    </dataValidation>
    <dataValidation type="list" allowBlank="1" showInputMessage="1" showErrorMessage="1" sqref="I7" xr:uid="{3F8E479C-705D-4193-9D8C-1C95BD13E98A}">
      <formula1>$AR$5:$AR$9</formula1>
    </dataValidation>
    <dataValidation type="list" allowBlank="1" showInputMessage="1" showErrorMessage="1" sqref="L7" xr:uid="{5016BA8E-61A1-46E7-BD12-5ABFC0B02E92}">
      <formula1>$AU$5:$AU$8</formula1>
    </dataValidation>
    <dataValidation type="list" allowBlank="1" showInputMessage="1" showErrorMessage="1" sqref="E7:F7 H7 P7 N7" xr:uid="{9628BB4E-CBE2-4806-9391-E83B2F4E7B99}">
      <formula1>"Supported, Not Supported"</formula1>
    </dataValidation>
    <dataValidation type="list" allowBlank="1" showInputMessage="1" showErrorMessage="1" sqref="G7" xr:uid="{E6250802-8448-4D86-A807-07D9BB50453C}">
      <formula1>$AQ$5:$AQ$36</formula1>
    </dataValidation>
    <dataValidation type="list" allowBlank="1" showInputMessage="1" showErrorMessage="1" sqref="I3" xr:uid="{768973E7-3241-46A1-8F1C-8B62AAAFF378}">
      <formula1>$AU$15:$AU$18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892454</xdr:colOff>
                    <xdr:row>9</xdr:row>
                    <xdr:rowOff>7315</xdr:rowOff>
                  </from>
                  <to>
                    <xdr:col>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892454</xdr:colOff>
                    <xdr:row>10</xdr:row>
                    <xdr:rowOff>0</xdr:rowOff>
                  </from>
                  <to>
                    <xdr:col>2</xdr:col>
                    <xdr:colOff>0</xdr:colOff>
                    <xdr:row>10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DCB04-BE28-4004-9EF1-04640547F9E7}">
  <sheetPr codeName="Sheet17"/>
  <dimension ref="B2:BC54"/>
  <sheetViews>
    <sheetView tabSelected="1" zoomScale="85" zoomScaleNormal="85" workbookViewId="0">
      <selection activeCell="P31" sqref="P3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J3" s="32" t="s">
        <v>211</v>
      </c>
      <c r="K3" s="77" t="s">
        <v>213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3" t="str">
        <f>DEC2HEX(_xlfn.BITLSHIFT(BIN2DEC(C8),5)+_xlfn.BITLSHIFT(BIN2DEC(D8),2)+_xlfn.BITLSHIFT(BIN2DEC(E8),1)+BIN2DEC(F8))</f>
        <v>49</v>
      </c>
      <c r="D5" s="83"/>
      <c r="E5" s="83"/>
      <c r="F5" s="84"/>
      <c r="G5" s="85" t="str">
        <f>DEC2HEX(_xlfn.BITLSHIFT(BIN2DEC(G8),3)+_xlfn.BITLSHIFT(BIN2DEC(H8),2)+BIN2DEC(I8),2)</f>
        <v>03</v>
      </c>
      <c r="H5" s="81"/>
      <c r="I5" s="82"/>
      <c r="J5" s="85" t="str">
        <f>DEC2HEX(_xlfn.BITLSHIFT(BIN2DEC(J8),3)+_xlfn.BITLSHIFT(BIN2DEC(K8),1)+BIN2DEC(L8),2)</f>
        <v>48</v>
      </c>
      <c r="K5" s="81"/>
      <c r="L5" s="82"/>
      <c r="M5" s="81" t="str">
        <f>BIN2HEX(_xlfn.CONCAT(M8,N8),2)</f>
        <v>A1</v>
      </c>
      <c r="N5" s="82"/>
      <c r="O5" s="81" t="str">
        <f>BIN2HEX(_xlfn.CONCAT(O8,P8),2)</f>
        <v>58</v>
      </c>
      <c r="P5" s="82"/>
      <c r="Q5" s="81" t="str">
        <f>BIN2HEX(_xlfn.CONCAT(Q8,R8),2)</f>
        <v>55</v>
      </c>
      <c r="R5" s="82"/>
      <c r="S5" s="81" t="str">
        <f>BIN2HEX(_xlfn.CONCAT(S8,T8),2)</f>
        <v>A2</v>
      </c>
      <c r="T5" s="82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385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148</v>
      </c>
      <c r="Y7" s="59" t="s">
        <v>148</v>
      </c>
      <c r="Z7" s="59" t="s">
        <v>148</v>
      </c>
      <c r="AA7" s="59" t="s">
        <v>148</v>
      </c>
      <c r="AB7" s="59" t="s">
        <v>148</v>
      </c>
      <c r="AC7" s="59" t="s">
        <v>148</v>
      </c>
      <c r="AD7" s="59" t="s">
        <v>7</v>
      </c>
      <c r="AE7" s="59" t="s">
        <v>152</v>
      </c>
      <c r="AF7" s="59" t="s">
        <v>149</v>
      </c>
      <c r="AG7" s="59" t="s">
        <v>29</v>
      </c>
      <c r="AH7" s="59" t="s">
        <v>220</v>
      </c>
      <c r="AI7" s="59" t="s">
        <v>6</v>
      </c>
      <c r="AJ7" s="59" t="s">
        <v>6</v>
      </c>
      <c r="AK7" s="59" t="s">
        <v>6</v>
      </c>
      <c r="AL7" s="59" t="s">
        <v>6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01001</v>
      </c>
      <c r="K8" s="17">
        <v>0</v>
      </c>
      <c r="L8" s="18" t="str">
        <f>VLOOKUP(L7,AU5:AV8,2)</f>
        <v>00</v>
      </c>
      <c r="M8" s="20" t="str">
        <f>DEC2BIN($M$7*256,7)</f>
        <v>1010000</v>
      </c>
      <c r="N8" s="18">
        <f>IF(AND(EXACT(N7,"Supported"),EXACT(P7,"Not Supported")),1,0)</f>
        <v>1</v>
      </c>
      <c r="O8" s="26" t="str">
        <f>DEC2BIN(($O$7-0.5)*256,7)</f>
        <v>0101100</v>
      </c>
      <c r="P8" s="78">
        <f>IF(AND(EXACT(P7,"Supported"),EXACT(N7,"Not Supported")),1,0)</f>
        <v>0</v>
      </c>
      <c r="Q8" s="26" t="str">
        <f>DEC2BIN(($Q$7-0.625)*256,5)</f>
        <v>01010</v>
      </c>
      <c r="R8" s="78" t="str">
        <f>DEC2BIN(($R$7-0.125)*256,3)</f>
        <v>101</v>
      </c>
      <c r="S8" s="26" t="str">
        <f>DEC2BIN(($S$7-0.25)*256,5)</f>
        <v>10100</v>
      </c>
      <c r="T8" s="18" t="str">
        <f>DEC2BIN(($T$7-0.03125)*256,3)</f>
        <v>010</v>
      </c>
      <c r="V8" s="59"/>
      <c r="W8" s="59" t="s">
        <v>171</v>
      </c>
      <c r="X8" s="59" t="s">
        <v>171</v>
      </c>
      <c r="Y8" s="59" t="s">
        <v>6</v>
      </c>
      <c r="Z8" s="59" t="s">
        <v>78</v>
      </c>
      <c r="AA8" s="59" t="s">
        <v>79</v>
      </c>
      <c r="AB8" s="59" t="s">
        <v>221</v>
      </c>
      <c r="AC8" s="59" t="s">
        <v>156</v>
      </c>
      <c r="AD8" s="59" t="s">
        <v>82</v>
      </c>
      <c r="AE8" s="59" t="s">
        <v>218</v>
      </c>
      <c r="AF8" s="59" t="s">
        <v>222</v>
      </c>
      <c r="AG8" s="59" t="s">
        <v>98</v>
      </c>
      <c r="AH8" s="59" t="s">
        <v>149</v>
      </c>
      <c r="AI8" s="59" t="s">
        <v>223</v>
      </c>
      <c r="AJ8" s="59" t="s">
        <v>152</v>
      </c>
      <c r="AK8" s="59" t="s">
        <v>224</v>
      </c>
      <c r="AL8" s="59" t="s">
        <v>185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168</v>
      </c>
      <c r="X9" s="59" t="s">
        <v>98</v>
      </c>
      <c r="Y9" s="59" t="s">
        <v>223</v>
      </c>
      <c r="Z9" s="59" t="s">
        <v>105</v>
      </c>
      <c r="AA9" s="59" t="s">
        <v>7</v>
      </c>
      <c r="AB9" s="59" t="s">
        <v>7</v>
      </c>
      <c r="AC9" s="59" t="s">
        <v>6</v>
      </c>
      <c r="AD9" s="59" t="s">
        <v>6</v>
      </c>
      <c r="AE9" s="59" t="s">
        <v>6</v>
      </c>
      <c r="AF9" s="59" t="s">
        <v>6</v>
      </c>
      <c r="AG9" s="59" t="s">
        <v>6</v>
      </c>
      <c r="AH9" s="59" t="s">
        <v>6</v>
      </c>
      <c r="AI9" s="59" t="s">
        <v>6</v>
      </c>
      <c r="AJ9" s="59" t="s">
        <v>6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242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154</v>
      </c>
      <c r="AE10" s="59" t="s">
        <v>7</v>
      </c>
      <c r="AF10" s="59" t="s">
        <v>95</v>
      </c>
      <c r="AG10" s="59" t="s">
        <v>155</v>
      </c>
      <c r="AH10" s="59" t="s">
        <v>96</v>
      </c>
      <c r="AI10" s="59" t="s">
        <v>156</v>
      </c>
      <c r="AJ10" s="59" t="s">
        <v>79</v>
      </c>
      <c r="AK10" s="59" t="s">
        <v>153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243</v>
      </c>
      <c r="J11" s="40"/>
      <c r="V11" s="59"/>
      <c r="W11" s="59" t="s">
        <v>157</v>
      </c>
      <c r="X11" s="59" t="s">
        <v>7</v>
      </c>
      <c r="Y11" s="59" t="s">
        <v>92</v>
      </c>
      <c r="Z11" s="59" t="s">
        <v>140</v>
      </c>
      <c r="AA11" s="59" t="s">
        <v>225</v>
      </c>
      <c r="AB11" s="59" t="s">
        <v>7</v>
      </c>
      <c r="AC11" s="59" t="s">
        <v>7</v>
      </c>
      <c r="AD11" s="59" t="s">
        <v>159</v>
      </c>
      <c r="AE11" s="59" t="s">
        <v>99</v>
      </c>
      <c r="AF11" s="59" t="s">
        <v>160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161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EB0146D000490348A15855A2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162</v>
      </c>
      <c r="Y12" s="59" t="s">
        <v>91</v>
      </c>
      <c r="Z12" s="59" t="s">
        <v>7</v>
      </c>
      <c r="AA12" s="59" t="s">
        <v>92</v>
      </c>
      <c r="AB12" s="59" t="s">
        <v>140</v>
      </c>
      <c r="AC12" s="59" t="s">
        <v>225</v>
      </c>
      <c r="AD12" s="59" t="s">
        <v>7</v>
      </c>
      <c r="AE12" s="59" t="s">
        <v>7</v>
      </c>
      <c r="AF12" s="59" t="s">
        <v>159</v>
      </c>
      <c r="AG12" s="59" t="s">
        <v>7</v>
      </c>
      <c r="AH12" s="59" t="s">
        <v>7</v>
      </c>
      <c r="AI12" s="59" t="s">
        <v>7</v>
      </c>
      <c r="AJ12" s="59" t="s">
        <v>166</v>
      </c>
      <c r="AK12" s="59" t="s">
        <v>7</v>
      </c>
      <c r="AL12" s="59" t="s">
        <v>100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54</v>
      </c>
      <c r="D13" s="36"/>
      <c r="E13" s="36"/>
      <c r="F13" s="36"/>
      <c r="G13" s="36"/>
      <c r="H13" s="36"/>
      <c r="I13" s="36"/>
      <c r="J13" s="41"/>
      <c r="V13" s="59"/>
      <c r="W13" s="59" t="s">
        <v>169</v>
      </c>
      <c r="X13" s="59" t="s">
        <v>168</v>
      </c>
      <c r="Y13" s="59" t="s">
        <v>106</v>
      </c>
      <c r="Z13" s="59" t="s">
        <v>169</v>
      </c>
      <c r="AA13" s="59" t="s">
        <v>7</v>
      </c>
      <c r="AB13" s="59" t="s">
        <v>150</v>
      </c>
      <c r="AC13" s="59" t="s">
        <v>105</v>
      </c>
      <c r="AD13" s="59" t="s">
        <v>105</v>
      </c>
      <c r="AE13" s="59" t="s">
        <v>105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163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D970</v>
      </c>
      <c r="C14" s="68" t="str">
        <f>_xlfn.CONCAT(":10D97000","180000000000000000000000009C",$W$7:$X$7)</f>
        <v>:10D97000180000000000000000000000009C00ff</v>
      </c>
      <c r="D14" s="36"/>
      <c r="E14" s="36"/>
      <c r="F14" s="36"/>
      <c r="G14" s="36" t="str" cm="1">
        <f t="array" ref="G14">IntelHexChecksum(RIGHT(C14,40))</f>
        <v>F4</v>
      </c>
      <c r="H14" s="36"/>
      <c r="I14" s="36"/>
      <c r="J14" s="41"/>
      <c r="V14" s="59"/>
      <c r="W14" s="59" t="s">
        <v>7</v>
      </c>
      <c r="X14" s="59" t="s">
        <v>91</v>
      </c>
      <c r="Y14" s="59" t="s">
        <v>98</v>
      </c>
      <c r="Z14" s="59" t="s">
        <v>108</v>
      </c>
      <c r="AA14" s="59" t="s">
        <v>165</v>
      </c>
      <c r="AB14" s="59" t="s">
        <v>226</v>
      </c>
      <c r="AC14" s="59" t="s">
        <v>105</v>
      </c>
      <c r="AD14" s="59" t="s">
        <v>98</v>
      </c>
      <c r="AE14" s="59" t="s">
        <v>227</v>
      </c>
      <c r="AF14" s="59" t="s">
        <v>150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228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D980</v>
      </c>
      <c r="C15" s="68" t="str">
        <f>_xlfn.CONCAT(":10D98000",$Y7:$AL7,$W8:$X8)</f>
        <v>:10D98000ffffffffff004ca311a8010101011f1f</v>
      </c>
      <c r="D15" s="36"/>
      <c r="E15" s="36"/>
      <c r="F15" s="36"/>
      <c r="G15" s="36" t="str" cm="1">
        <f t="array" ref="G15">IntelHexChecksum(RIGHT(C15,40))</f>
        <v>B2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9" t="s">
        <v>80</v>
      </c>
      <c r="Z15" s="59" t="s">
        <v>229</v>
      </c>
      <c r="AA15" s="59" t="s">
        <v>187</v>
      </c>
      <c r="AB15" s="59" t="s">
        <v>219</v>
      </c>
      <c r="AC15" s="59" t="s">
        <v>186</v>
      </c>
      <c r="AD15" s="59" t="s">
        <v>230</v>
      </c>
      <c r="AE15" s="59" t="s">
        <v>231</v>
      </c>
      <c r="AF15" s="59" t="s">
        <v>93</v>
      </c>
      <c r="AG15" s="59" t="s">
        <v>109</v>
      </c>
      <c r="AH15" s="59" t="s">
        <v>111</v>
      </c>
      <c r="AI15" s="59" t="s">
        <v>110</v>
      </c>
      <c r="AJ15" s="59" t="s">
        <v>175</v>
      </c>
      <c r="AK15" s="59" t="s">
        <v>232</v>
      </c>
      <c r="AL15" s="59" t="s">
        <v>170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D990</v>
      </c>
      <c r="C16" s="68" t="str">
        <f>_xlfn.CONCAT(":10D99000",$Y8:$AL8,$W9:$X9)</f>
        <v>:10D99000010380a05a780ede50a3544c99260f50</v>
      </c>
      <c r="D16" s="36"/>
      <c r="E16" s="36"/>
      <c r="F16" s="36"/>
      <c r="G16" s="36" t="str" cm="1">
        <f t="array" ref="G16">IntelHexChecksum(RIGHT(C16,40))</f>
        <v>F4</v>
      </c>
      <c r="H16" s="36"/>
      <c r="I16" s="36"/>
      <c r="J16" s="41"/>
      <c r="V16" s="59"/>
      <c r="W16" s="59" t="s">
        <v>233</v>
      </c>
      <c r="X16" s="59" t="s">
        <v>172</v>
      </c>
      <c r="Y16" s="59" t="s">
        <v>92</v>
      </c>
      <c r="Z16" s="59" t="s">
        <v>28</v>
      </c>
      <c r="AA16" s="59" t="s">
        <v>171</v>
      </c>
      <c r="AB16" s="59" t="s">
        <v>118</v>
      </c>
      <c r="AC16" s="59" t="s">
        <v>105</v>
      </c>
      <c r="AD16" s="59" t="s">
        <v>112</v>
      </c>
      <c r="AE16" s="59" t="s">
        <v>116</v>
      </c>
      <c r="AF16" s="59" t="s">
        <v>76</v>
      </c>
      <c r="AG16" s="59" t="s">
        <v>115</v>
      </c>
      <c r="AH16" s="59" t="s">
        <v>114</v>
      </c>
      <c r="AI16" s="59" t="s">
        <v>29</v>
      </c>
      <c r="AJ16" s="59" t="s">
        <v>78</v>
      </c>
      <c r="AK16" s="59" t="s">
        <v>99</v>
      </c>
      <c r="AL16" s="59" t="s">
        <v>6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D9A0</v>
      </c>
      <c r="C17" s="68" t="str">
        <f>_xlfn.CONCAT(":10D9A000",$Y9:$AL9,$W10:$X10)</f>
        <v>:10D9A00054200000010101010101010101010101</v>
      </c>
      <c r="D17" s="36"/>
      <c r="E17" s="36"/>
      <c r="F17" s="36"/>
      <c r="G17" s="36" t="str" cm="1">
        <f t="array" ref="G17">IntelHexChecksum(RIGHT(C17,40))</f>
        <v>F7</v>
      </c>
      <c r="H17" s="36"/>
      <c r="I17" s="36"/>
      <c r="J17" s="41"/>
      <c r="V17" s="59"/>
      <c r="W17" s="59" t="s">
        <v>119</v>
      </c>
      <c r="X17" s="59" t="s">
        <v>168</v>
      </c>
      <c r="Y17" s="59" t="s">
        <v>173</v>
      </c>
      <c r="Z17" s="59" t="s">
        <v>113</v>
      </c>
      <c r="AA17" s="59" t="s">
        <v>174</v>
      </c>
      <c r="AB17" s="59" t="s">
        <v>159</v>
      </c>
      <c r="AC17" s="59" t="s">
        <v>98</v>
      </c>
      <c r="AD17" s="59" t="s">
        <v>120</v>
      </c>
      <c r="AE17" s="59" t="s">
        <v>113</v>
      </c>
      <c r="AF17" s="59" t="s">
        <v>98</v>
      </c>
      <c r="AG17" s="59" t="s">
        <v>175</v>
      </c>
      <c r="AH17" s="59" t="s">
        <v>176</v>
      </c>
      <c r="AI17" s="59" t="s">
        <v>6</v>
      </c>
      <c r="AJ17" s="59" t="s">
        <v>84</v>
      </c>
      <c r="AK17" s="59" t="s">
        <v>113</v>
      </c>
      <c r="AL17" s="59" t="s">
        <v>6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D9B0</v>
      </c>
      <c r="C18" s="68" t="str">
        <f>_xlfn.CONCAT(":10D9B000",$Y10:$AL10,$W11:$X11)</f>
        <v>:10D9B0000101010108e80030f2705a80b0588a00</v>
      </c>
      <c r="D18" s="36"/>
      <c r="E18" s="36"/>
      <c r="F18" s="36"/>
      <c r="G18" s="36" t="str" cm="1">
        <f t="array" ref="G18">IntelHexChecksum(RIGHT(C18,40))</f>
        <v>75</v>
      </c>
      <c r="H18" s="36"/>
      <c r="I18" s="36"/>
      <c r="J18" s="41"/>
      <c r="V18" s="59"/>
      <c r="W18" s="59" t="s">
        <v>121</v>
      </c>
      <c r="X18" s="59" t="s">
        <v>176</v>
      </c>
      <c r="Y18" s="59" t="s">
        <v>78</v>
      </c>
      <c r="Z18" s="59" t="s">
        <v>234</v>
      </c>
      <c r="AA18" s="59" t="s">
        <v>78</v>
      </c>
      <c r="AB18" s="59" t="s">
        <v>180</v>
      </c>
      <c r="AC18" s="59" t="s">
        <v>7</v>
      </c>
      <c r="AD18" s="59" t="s">
        <v>28</v>
      </c>
      <c r="AE18" s="59" t="s">
        <v>7</v>
      </c>
      <c r="AF18" s="59" t="s">
        <v>235</v>
      </c>
      <c r="AG18" s="59" t="s">
        <v>236</v>
      </c>
      <c r="AH18" s="59" t="s">
        <v>190</v>
      </c>
      <c r="AI18" s="59" t="s">
        <v>237</v>
      </c>
      <c r="AJ18" s="59" t="s">
        <v>237</v>
      </c>
      <c r="AK18" s="59" t="s">
        <v>237</v>
      </c>
      <c r="AL18" s="59" t="s">
        <v>237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D9C0</v>
      </c>
      <c r="C19" s="68" t="str">
        <f>_xlfn.CONCAT(":10D9C000",$Y11:$AL11,$W12:$X12)</f>
        <v>:10D9C00040846300001e023a801871382d40582c</v>
      </c>
      <c r="D19" s="36"/>
      <c r="E19" s="36"/>
      <c r="F19" s="36"/>
      <c r="G19" s="36" t="str" cm="1">
        <f t="array" ref="G19">IntelHexChecksum(RIGHT(C19,40))</f>
        <v>A4</v>
      </c>
      <c r="H19" s="36"/>
      <c r="I19" s="36"/>
      <c r="J19" s="41"/>
      <c r="V19" s="59"/>
      <c r="W19" s="59" t="s">
        <v>7</v>
      </c>
      <c r="X19" s="59" t="s">
        <v>79</v>
      </c>
      <c r="Y19" s="59" t="s">
        <v>6</v>
      </c>
      <c r="Z19" s="59" t="s">
        <v>99</v>
      </c>
      <c r="AA19" s="59" t="s">
        <v>78</v>
      </c>
      <c r="AB19" s="59" t="s">
        <v>76</v>
      </c>
      <c r="AC19" s="59" t="s">
        <v>238</v>
      </c>
      <c r="AD19" s="59" t="s">
        <v>182</v>
      </c>
      <c r="AE19" s="59" t="s">
        <v>170</v>
      </c>
      <c r="AF19" s="59" t="s">
        <v>183</v>
      </c>
      <c r="AG19" s="59" t="s">
        <v>6</v>
      </c>
      <c r="AH19" s="59" t="s">
        <v>82</v>
      </c>
      <c r="AI19" s="59" t="s">
        <v>79</v>
      </c>
      <c r="AJ19" s="59" t="s">
        <v>187</v>
      </c>
      <c r="AK19" s="59" t="s">
        <v>7</v>
      </c>
      <c r="AL19" s="59" t="s">
        <v>122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D9D0</v>
      </c>
      <c r="C20" s="68" t="str">
        <f>_xlfn.CONCAT(":10D9D000",$Y12:$AL12,$W13:$X13)</f>
        <v>:10D9D000450040846300001e000000fd00183c0f</v>
      </c>
      <c r="D20" s="36"/>
      <c r="E20" s="36"/>
      <c r="F20" s="36"/>
      <c r="G20" s="36" t="str" cm="1">
        <f t="array" ref="G20">IntelHexChecksum(RIGHT(C20,40))</f>
        <v>5D</v>
      </c>
      <c r="H20" s="36"/>
      <c r="I20" s="36"/>
      <c r="J20" s="41"/>
      <c r="V20" s="59"/>
      <c r="W20" s="59" t="s">
        <v>175</v>
      </c>
      <c r="X20" s="86" t="s">
        <v>7</v>
      </c>
      <c r="Y20" s="86" t="s">
        <v>7</v>
      </c>
      <c r="Z20" s="86" t="s">
        <v>181</v>
      </c>
      <c r="AA20" s="86" t="s">
        <v>7</v>
      </c>
      <c r="AB20" s="86" t="s">
        <v>239</v>
      </c>
      <c r="AC20" s="89" t="s">
        <v>146</v>
      </c>
      <c r="AD20" s="89" t="s">
        <v>6</v>
      </c>
      <c r="AE20" s="89" t="s">
        <v>141</v>
      </c>
      <c r="AF20" s="89" t="s">
        <v>140</v>
      </c>
      <c r="AG20" s="93" t="str">
        <f>IF(HDR10Plus="Y","90","00")</f>
        <v>90</v>
      </c>
      <c r="AH20" s="89" t="s">
        <v>6</v>
      </c>
      <c r="AI20" s="86" t="s">
        <v>177</v>
      </c>
      <c r="AJ20" s="59" t="s">
        <v>112</v>
      </c>
      <c r="AK20" s="59" t="s">
        <v>178</v>
      </c>
      <c r="AL20" s="59" t="s">
        <v>7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D9E0</v>
      </c>
      <c r="C21" s="68" t="str">
        <f>_xlfn.CONCAT(":10D9E000",$Y13:$AL13,$W14:$X14)</f>
        <v>:10D9E000873c000a202020202020000000fc0045</v>
      </c>
      <c r="D21" s="36"/>
      <c r="E21" s="36"/>
      <c r="F21" s="36"/>
      <c r="G21" s="36" t="str" cm="1">
        <f t="array" ref="G21">IntelHexChecksum(RIGHT(C21,40))</f>
        <v>69</v>
      </c>
      <c r="H21" s="36"/>
      <c r="I21" s="36"/>
      <c r="J21" s="41"/>
      <c r="V21" s="59"/>
      <c r="W21" s="59" t="s">
        <v>177</v>
      </c>
      <c r="X21" s="59" t="s">
        <v>123</v>
      </c>
      <c r="Y21" s="59" t="s">
        <v>240</v>
      </c>
      <c r="Z21" s="59" t="s">
        <v>6</v>
      </c>
      <c r="AA21" s="59" t="s">
        <v>181</v>
      </c>
      <c r="AB21" s="59" t="s">
        <v>168</v>
      </c>
      <c r="AC21" s="59" t="s">
        <v>148</v>
      </c>
      <c r="AD21" s="87" t="s">
        <v>124</v>
      </c>
      <c r="AE21" s="87" t="s">
        <v>6</v>
      </c>
      <c r="AF21" s="87" t="s">
        <v>125</v>
      </c>
      <c r="AG21" s="87" t="s">
        <v>184</v>
      </c>
      <c r="AH21" s="87" t="s">
        <v>7</v>
      </c>
      <c r="AI21" s="88" t="str">
        <f>C5</f>
        <v>49</v>
      </c>
      <c r="AJ21" s="88" t="str">
        <f>G5</f>
        <v>03</v>
      </c>
      <c r="AK21" s="88" t="str">
        <f>J5</f>
        <v>48</v>
      </c>
      <c r="AL21" s="88" t="str">
        <f>M5</f>
        <v>A1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D9F0</v>
      </c>
      <c r="C22" s="68" t="str">
        <f>_xlfn.CONCAT(":10D9F000",$Y14:$AL14,$W15:$X15)</f>
        <v>:10D9F00050534f4e20504a0a2020202001270203</v>
      </c>
      <c r="D22" s="36"/>
      <c r="E22" s="36"/>
      <c r="F22" s="36"/>
      <c r="G22" s="36" t="str" cm="1">
        <f t="array" ref="G22">IntelHexChecksum(RIGHT(C22,40))</f>
        <v>76</v>
      </c>
      <c r="H22" s="36"/>
      <c r="I22" s="36"/>
      <c r="J22" s="41"/>
      <c r="V22" s="59"/>
      <c r="W22" s="88" t="str">
        <f>O5</f>
        <v>58</v>
      </c>
      <c r="X22" s="88" t="str">
        <f>Q5</f>
        <v>55</v>
      </c>
      <c r="Y22" s="88" t="str">
        <f>S5</f>
        <v>A2</v>
      </c>
      <c r="Z22" s="59" t="s">
        <v>7</v>
      </c>
      <c r="AA22" s="59" t="s">
        <v>7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241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  <c r="AU22" s="6" t="s">
        <v>212</v>
      </c>
    </row>
    <row r="23" spans="2:54" x14ac:dyDescent="0.3">
      <c r="B23" s="67" t="str">
        <f>_xlfn.CONCAT("Patch ",MID(C23,4,4))</f>
        <v>Patch DA00</v>
      </c>
      <c r="C23" s="68" t="str">
        <f>_xlfn.CONCAT(":10DA0000",$Y15:$AL15,$W16:$X16)</f>
        <v>:10DA000073f05b7675dbda616066655f5e5d623f</v>
      </c>
      <c r="D23" s="36"/>
      <c r="E23" s="36"/>
      <c r="F23" s="36"/>
      <c r="G23" s="36" t="str" cm="1">
        <f t="array" ref="G23">IntelHexChecksum(RIGHT(C23,40))</f>
        <v>71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  <c r="AU23" t="s">
        <v>213</v>
      </c>
    </row>
    <row r="24" spans="2:54" x14ac:dyDescent="0.3">
      <c r="B24" s="67" t="str">
        <f t="shared" si="1"/>
        <v>Patch DA10</v>
      </c>
      <c r="C24" s="68" t="str">
        <f>_xlfn.CONCAT(":10DA1000",$Y16:$AL16,$W17:$X17)</f>
        <v>:10DA100040101f2220051404131211030201320f</v>
      </c>
      <c r="D24" s="36"/>
      <c r="E24" s="36"/>
      <c r="F24" s="36"/>
      <c r="G24" s="36" t="str" cm="1">
        <f t="array" ref="G24">IntelHexChecksum(RIGHT(C24,40))</f>
        <v>BB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  <c r="AU24" t="s">
        <v>214</v>
      </c>
    </row>
    <row r="25" spans="2:54" x14ac:dyDescent="0.3">
      <c r="B25" s="67" t="str">
        <f t="shared" si="1"/>
        <v>Patch DA20</v>
      </c>
      <c r="C25" s="68" t="str">
        <f>_xlfn.CONCAT(":10DA2000",$Y17:$AL17,$W18:$X18)</f>
        <v>:10DA20007f073d1e501507505f7e01570701677e</v>
      </c>
      <c r="D25" s="36"/>
      <c r="E25" s="36"/>
      <c r="F25" s="36"/>
      <c r="G25" s="36" t="str" cm="1">
        <f t="array" ref="G25">IntelHexChecksum(RIGHT(C25,40))</f>
        <v>37</v>
      </c>
      <c r="H25" s="36"/>
      <c r="I25" s="36"/>
      <c r="J25" s="41"/>
      <c r="U25" t="s">
        <v>129</v>
      </c>
      <c r="V25" s="12">
        <f>HEX2DEC("5d")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DA30</v>
      </c>
      <c r="C26" s="68" t="str">
        <f>_xlfn.CONCAT(":10DA3000",$Y18:$AL18,$W19:$X19)</f>
        <v>:10DA30000372030c001000b844e0424242420080</v>
      </c>
      <c r="D26" s="36"/>
      <c r="E26" s="36"/>
      <c r="F26" s="36"/>
      <c r="G26" s="36" t="str" cm="1">
        <f t="array" ref="G26">IntelHexChecksum(RIGHT(C26,40))</f>
        <v>EE</v>
      </c>
      <c r="H26" s="36"/>
      <c r="I26" s="36"/>
      <c r="J26" s="41"/>
      <c r="U26" t="s">
        <v>130</v>
      </c>
      <c r="V26" t="str">
        <f>DEC2HEX(V25+IF(HDR10Plus="Y",6,0))</f>
        <v>63</v>
      </c>
      <c r="W26" t="s">
        <v>216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DA40</v>
      </c>
      <c r="C27" s="68" t="str">
        <f>_xlfn.CONCAT(":10DA4000",$Y19:$AL19,$W20:$X20)</f>
        <v>:10DA40000102030468d85dc40178805b00835f00</v>
      </c>
      <c r="D27" s="36"/>
      <c r="E27" s="36"/>
      <c r="F27" s="36"/>
      <c r="G27" s="36" t="str" cm="1">
        <f t="array" ref="G27">IntelHexChecksum(RIGHT(C27,40))</f>
        <v>35</v>
      </c>
      <c r="H27" s="36"/>
      <c r="I27" s="36"/>
      <c r="J27" s="41"/>
      <c r="U27" s="90" t="s">
        <v>0</v>
      </c>
      <c r="V27" s="87" t="s">
        <v>124</v>
      </c>
      <c r="W27" s="87" t="s">
        <v>6</v>
      </c>
      <c r="X27" s="87">
        <v>46</v>
      </c>
      <c r="Y27" s="87" t="s">
        <v>131</v>
      </c>
      <c r="Z27" s="87" t="s">
        <v>7</v>
      </c>
      <c r="AA27" s="90" t="str">
        <f>$C$5</f>
        <v>49</v>
      </c>
      <c r="AB27" s="90" t="str">
        <f>$G$5</f>
        <v>03</v>
      </c>
      <c r="AC27" s="90" t="str">
        <f>$J$5</f>
        <v>48</v>
      </c>
      <c r="AD27" s="90" t="str">
        <f>$M$5</f>
        <v>A1</v>
      </c>
      <c r="AE27" s="90" t="str">
        <f>$O$5</f>
        <v>58</v>
      </c>
      <c r="AF27" s="90" t="str">
        <f>$Q$5</f>
        <v>55</v>
      </c>
      <c r="AG27" s="90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DA50</v>
      </c>
      <c r="C28" s="68" t="str">
        <f>_xlfn.CONCAT(":10DA5000",$Y20:$AL20,$W21:$X21)</f>
        <v>:10DA500000e200fbe5018b849001e305c000e306</v>
      </c>
      <c r="D28" s="36"/>
      <c r="E28" s="36"/>
      <c r="F28" s="36"/>
      <c r="G28" s="36" t="str" cm="1">
        <f t="array" ref="G28">IntelHexChecksum(RIGHT(C28,40))</f>
        <v>D2</v>
      </c>
      <c r="H28" s="36"/>
      <c r="I28" s="36"/>
      <c r="J28" s="41"/>
      <c r="U28" s="62" t="s">
        <v>143</v>
      </c>
      <c r="V28" s="62" t="s">
        <v>144</v>
      </c>
      <c r="W28" s="91">
        <v>11</v>
      </c>
      <c r="X28" s="91">
        <v>46</v>
      </c>
      <c r="Y28" s="91" t="s">
        <v>131</v>
      </c>
      <c r="Z28" s="92" t="s">
        <v>7</v>
      </c>
      <c r="AA28" s="91">
        <v>70</v>
      </c>
      <c r="AB28" s="6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DA60</v>
      </c>
      <c r="C29" s="68" t="str">
        <f>_xlfn.CONCAT(":10DA6000",$Y21:$AL21,$W22:$X22)</f>
        <v>:10DA60000d01e20fffeb0146d000490348A15855</v>
      </c>
      <c r="D29" s="36"/>
      <c r="E29" s="36"/>
      <c r="F29" s="36"/>
      <c r="G29" s="36" t="str" cm="1">
        <f t="array" ref="G29">IntelHexChecksum(RIGHT(C29,40))</f>
        <v>D4</v>
      </c>
      <c r="H29" s="36"/>
      <c r="I29" s="36"/>
      <c r="J29" s="41"/>
      <c r="U29" s="62" t="s">
        <v>145</v>
      </c>
      <c r="V29" s="62" t="s">
        <v>146</v>
      </c>
      <c r="W29" s="69" t="s">
        <v>6</v>
      </c>
      <c r="X29" s="69" t="s">
        <v>141</v>
      </c>
      <c r="Y29" s="69" t="s">
        <v>140</v>
      </c>
      <c r="Z29" s="69" t="s">
        <v>142</v>
      </c>
      <c r="AA29" s="6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DA70</v>
      </c>
      <c r="C30" s="80" t="str">
        <f>_xlfn.CONCAT(":10DA7000",$Y22:$AL22,"00FF")</f>
        <v>:10DA7000A20000000000000000000000003b00FF</v>
      </c>
      <c r="D30" s="44"/>
      <c r="E30" s="44"/>
      <c r="F30" s="44"/>
      <c r="G30" s="44" t="str" cm="1">
        <f t="array" ref="G30">IntelHexChecksum(RIGHT(C30,40))</f>
        <v>CA</v>
      </c>
      <c r="H30" s="44"/>
      <c r="I30" s="44"/>
      <c r="J30" s="45"/>
      <c r="U30" t="s">
        <v>215</v>
      </c>
      <c r="V30" s="59" t="s">
        <v>136</v>
      </c>
      <c r="W30" s="59" t="s">
        <v>132</v>
      </c>
      <c r="X30" s="75" t="s">
        <v>131</v>
      </c>
      <c r="Y30" s="59" t="s">
        <v>133</v>
      </c>
      <c r="Z30" s="59" t="s">
        <v>105</v>
      </c>
      <c r="AA30" s="59" t="s">
        <v>137</v>
      </c>
      <c r="AB30" s="59" t="s">
        <v>134</v>
      </c>
      <c r="AC30" s="59" t="s">
        <v>28</v>
      </c>
      <c r="AD30" s="59" t="s">
        <v>28</v>
      </c>
      <c r="AE30" s="59" t="s">
        <v>138</v>
      </c>
      <c r="AF30" s="59" t="s">
        <v>126</v>
      </c>
      <c r="AG30" s="59" t="s">
        <v>7</v>
      </c>
      <c r="AH30" s="59" t="s">
        <v>135</v>
      </c>
      <c r="AI30" s="59" t="s">
        <v>139</v>
      </c>
      <c r="AJ30" s="59" t="s">
        <v>88</v>
      </c>
      <c r="AK30" s="59" t="s">
        <v>7</v>
      </c>
      <c r="AL30" s="59" t="s">
        <v>7</v>
      </c>
      <c r="AM30" s="59" t="s">
        <v>100</v>
      </c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9" t="s">
        <v>217</v>
      </c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9" priority="5">
      <formula>$N$7="Supported"</formula>
    </cfRule>
  </conditionalFormatting>
  <conditionalFormatting sqref="P7">
    <cfRule type="expression" dxfId="8" priority="4" stopIfTrue="1">
      <formula>IF(AND($N$7="Supported",$P$7="Supported"),TRUE,FALSE)</formula>
    </cfRule>
  </conditionalFormatting>
  <conditionalFormatting sqref="I7">
    <cfRule type="expression" dxfId="7" priority="3">
      <formula>$E$7="Not Supported"</formula>
    </cfRule>
  </conditionalFormatting>
  <conditionalFormatting sqref="N7">
    <cfRule type="expression" dxfId="6" priority="2">
      <formula>$P$7="Supported"</formula>
    </cfRule>
  </conditionalFormatting>
  <conditionalFormatting sqref="N7">
    <cfRule type="expression" dxfId="5" priority="1" stopIfTrue="1">
      <formula>IF(AND($N$7="Supported",$P$7="Supported"),TRUE,FALSE)</formula>
    </cfRule>
  </conditionalFormatting>
  <dataValidations count="7">
    <dataValidation type="list" allowBlank="1" showInputMessage="1" showErrorMessage="1" sqref="I3" xr:uid="{A79A737F-7D54-496E-AE4C-D21CF03A25E4}">
      <formula1>$AU$15:$AU$18</formula1>
    </dataValidation>
    <dataValidation type="list" allowBlank="1" showInputMessage="1" showErrorMessage="1" sqref="J7" xr:uid="{253504B4-3AEC-4428-AC2F-8E2201FCC2AC}">
      <formula1>$AN$5:$AN$36</formula1>
    </dataValidation>
    <dataValidation type="list" allowBlank="1" showInputMessage="1" showErrorMessage="1" sqref="I7" xr:uid="{E924FE42-9EF4-46E9-9F1A-641E534AF7B7}">
      <formula1>$AR$5:$AR$9</formula1>
    </dataValidation>
    <dataValidation type="list" allowBlank="1" showInputMessage="1" showErrorMessage="1" sqref="L7" xr:uid="{BC6A646E-6256-45E6-B8A7-18A6510DC0D0}">
      <formula1>$AU$5:$AU$8</formula1>
    </dataValidation>
    <dataValidation type="list" allowBlank="1" showInputMessage="1" showErrorMessage="1" sqref="P7 E7:F7 H7 N7" xr:uid="{174B1156-D40A-48CF-B785-6E212E97FE87}">
      <formula1>"Supported, Not Supported"</formula1>
    </dataValidation>
    <dataValidation type="list" allowBlank="1" showInputMessage="1" showErrorMessage="1" sqref="G7" xr:uid="{DA001E7E-B9D6-4858-9DA3-F90B2AEB09E6}">
      <formula1>$AQ$5:$AQ$36</formula1>
    </dataValidation>
    <dataValidation type="list" allowBlank="1" showInputMessage="1" showErrorMessage="1" sqref="K3" xr:uid="{F1368740-D015-48DB-92BD-4B4F52D41D93}">
      <formula1>$AU$23:$AU$24</formula1>
    </dataValidation>
  </dataValidations>
  <hyperlinks>
    <hyperlink ref="V24" r:id="rId1" xr:uid="{F119D631-B921-428E-9314-A4A34ECCA21A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410C8-2446-46E8-BD93-2139B058E3AA}">
  <sheetPr codeName="Sheet18"/>
  <dimension ref="B2:BC54"/>
  <sheetViews>
    <sheetView zoomScale="85" zoomScaleNormal="85" workbookViewId="0">
      <selection activeCell="L21" sqref="L21"/>
    </sheetView>
  </sheetViews>
  <sheetFormatPr defaultRowHeight="14.4" x14ac:dyDescent="0.3"/>
  <cols>
    <col min="2" max="2" width="14.09765625" customWidth="1"/>
    <col min="3" max="3" width="7.3984375" customWidth="1"/>
    <col min="4" max="4" width="11" customWidth="1"/>
    <col min="5" max="5" width="12.796875" customWidth="1"/>
    <col min="6" max="6" width="15.296875" customWidth="1"/>
    <col min="7" max="7" width="8.8984375" customWidth="1"/>
    <col min="8" max="8" width="10.69921875" customWidth="1"/>
    <col min="9" max="9" width="15.19921875" customWidth="1"/>
    <col min="10" max="10" width="12.69921875" customWidth="1"/>
    <col min="11" max="11" width="9.19921875" customWidth="1"/>
    <col min="12" max="12" width="16.19921875" customWidth="1"/>
    <col min="13" max="13" width="10" customWidth="1"/>
    <col min="14" max="14" width="13.19921875" customWidth="1"/>
    <col min="15" max="15" width="8.3984375" customWidth="1"/>
    <col min="16" max="16" width="12.8984375" customWidth="1"/>
    <col min="17" max="20" width="7.3984375" customWidth="1"/>
    <col min="21" max="21" width="12.59765625" customWidth="1"/>
    <col min="22" max="22" width="7.3984375" customWidth="1"/>
    <col min="23" max="38" width="4.296875" customWidth="1"/>
    <col min="47" max="47" width="24.59765625" customWidth="1"/>
  </cols>
  <sheetData>
    <row r="2" spans="2:54" ht="15" thickBot="1" x14ac:dyDescent="0.35"/>
    <row r="3" spans="2:54" ht="15" thickBot="1" x14ac:dyDescent="0.35">
      <c r="H3" s="32" t="s">
        <v>31</v>
      </c>
      <c r="I3" s="34" t="s">
        <v>71</v>
      </c>
      <c r="W3" s="62" t="s">
        <v>73</v>
      </c>
    </row>
    <row r="4" spans="2:54" ht="15" thickBot="1" x14ac:dyDescent="0.35">
      <c r="AO4" t="s">
        <v>25</v>
      </c>
      <c r="AP4" t="s">
        <v>67</v>
      </c>
      <c r="AQ4" t="s">
        <v>68</v>
      </c>
      <c r="AR4" t="s">
        <v>9</v>
      </c>
      <c r="AS4" t="s">
        <v>32</v>
      </c>
      <c r="AU4" t="s">
        <v>33</v>
      </c>
      <c r="AV4" t="s">
        <v>34</v>
      </c>
    </row>
    <row r="5" spans="2:54" ht="15" thickBot="1" x14ac:dyDescent="0.35">
      <c r="B5" s="57" t="s">
        <v>65</v>
      </c>
      <c r="C5" s="83" t="str">
        <f>DEC2HEX(_xlfn.BITLSHIFT(BIN2DEC(C8),5)+_xlfn.BITLSHIFT(BIN2DEC(D8),2)+_xlfn.BITLSHIFT(BIN2DEC(E8),1)+BIN2DEC(F8))</f>
        <v>49</v>
      </c>
      <c r="D5" s="83"/>
      <c r="E5" s="83"/>
      <c r="F5" s="84"/>
      <c r="G5" s="85" t="str">
        <f>DEC2HEX(_xlfn.BITLSHIFT(BIN2DEC(G8),3)+_xlfn.BITLSHIFT(BIN2DEC(H8),2)+BIN2DEC(I8),2)</f>
        <v>03</v>
      </c>
      <c r="H5" s="81"/>
      <c r="I5" s="82"/>
      <c r="J5" s="85" t="str">
        <f>DEC2HEX(_xlfn.BITLSHIFT(BIN2DEC(J8),3)+_xlfn.BITLSHIFT(BIN2DEC(K8),1)+BIN2DEC(L8),2)</f>
        <v>50</v>
      </c>
      <c r="K5" s="81"/>
      <c r="L5" s="82"/>
      <c r="M5" s="81" t="str">
        <f>BIN2HEX(_xlfn.CONCAT(M8,N8),2)</f>
        <v>A1</v>
      </c>
      <c r="N5" s="82"/>
      <c r="O5" s="81" t="str">
        <f>BIN2HEX(_xlfn.CONCAT(O8,P8),2)</f>
        <v>58</v>
      </c>
      <c r="P5" s="82"/>
      <c r="Q5" s="81" t="str">
        <f>BIN2HEX(_xlfn.CONCAT(Q8,R8),2)</f>
        <v>55</v>
      </c>
      <c r="R5" s="82"/>
      <c r="S5" s="81" t="str">
        <f>BIN2HEX(_xlfn.CONCAT(S8,T8),2)</f>
        <v>A2</v>
      </c>
      <c r="T5" s="82"/>
      <c r="W5" s="63">
        <v>0</v>
      </c>
      <c r="X5" s="64">
        <v>1</v>
      </c>
      <c r="Y5" s="64">
        <v>2</v>
      </c>
      <c r="Z5" s="64">
        <v>3</v>
      </c>
      <c r="AA5" s="64">
        <v>4</v>
      </c>
      <c r="AB5" s="64">
        <v>5</v>
      </c>
      <c r="AC5" s="64">
        <v>6</v>
      </c>
      <c r="AD5" s="64">
        <v>7</v>
      </c>
      <c r="AE5" s="64">
        <v>8</v>
      </c>
      <c r="AF5" s="64">
        <v>9</v>
      </c>
      <c r="AG5" s="64">
        <v>10</v>
      </c>
      <c r="AH5" s="64">
        <v>11</v>
      </c>
      <c r="AI5" s="64">
        <v>12</v>
      </c>
      <c r="AJ5" s="64">
        <v>13</v>
      </c>
      <c r="AK5" s="64">
        <v>14</v>
      </c>
      <c r="AL5" s="65">
        <v>15</v>
      </c>
      <c r="AN5" s="4">
        <f>INT(AP5)</f>
        <v>96</v>
      </c>
      <c r="AO5">
        <v>0</v>
      </c>
      <c r="AP5" s="4" cm="1">
        <f t="array" ref="AP5">PQ2nits((2055+65*AO5)/(2055+31*65))</f>
        <v>96.892947435897241</v>
      </c>
      <c r="AQ5" cm="1">
        <f t="array" ref="AQ5">ROUND(PQ2nits((20*$AO5)/(2055+31*65)),3)</f>
        <v>0</v>
      </c>
      <c r="AR5" s="11" t="s">
        <v>22</v>
      </c>
      <c r="AS5" s="10" t="s">
        <v>7</v>
      </c>
      <c r="AU5" s="12" t="s">
        <v>35</v>
      </c>
      <c r="AV5" s="6" t="s">
        <v>7</v>
      </c>
    </row>
    <row r="6" spans="2:54" ht="30.85" customHeight="1" x14ac:dyDescent="0.3">
      <c r="B6" s="56" t="s">
        <v>66</v>
      </c>
      <c r="C6" s="52" t="s">
        <v>10</v>
      </c>
      <c r="D6" s="27" t="s">
        <v>12</v>
      </c>
      <c r="E6" s="28" t="s">
        <v>17</v>
      </c>
      <c r="F6" s="29" t="s">
        <v>8</v>
      </c>
      <c r="G6" s="30" t="s">
        <v>60</v>
      </c>
      <c r="H6" s="28" t="s">
        <v>40</v>
      </c>
      <c r="I6" s="31" t="s">
        <v>59</v>
      </c>
      <c r="J6" s="30" t="s">
        <v>61</v>
      </c>
      <c r="K6" s="27" t="s">
        <v>11</v>
      </c>
      <c r="L6" s="29" t="s">
        <v>37</v>
      </c>
      <c r="M6" s="27" t="s">
        <v>58</v>
      </c>
      <c r="N6" s="29" t="s">
        <v>24</v>
      </c>
      <c r="O6" s="27" t="s">
        <v>57</v>
      </c>
      <c r="P6" s="29" t="s">
        <v>23</v>
      </c>
      <c r="Q6" s="27" t="s">
        <v>56</v>
      </c>
      <c r="R6" s="29" t="s">
        <v>14</v>
      </c>
      <c r="S6" s="27" t="s">
        <v>55</v>
      </c>
      <c r="T6" s="29" t="s">
        <v>13</v>
      </c>
      <c r="V6" s="62" t="s">
        <v>74</v>
      </c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  <c r="AH6" s="66"/>
      <c r="AI6" s="66"/>
      <c r="AJ6" s="66"/>
      <c r="AK6" s="66"/>
      <c r="AL6" s="66"/>
      <c r="AN6" s="4">
        <f>INT(AP6)</f>
        <v>113</v>
      </c>
      <c r="AO6">
        <v>1</v>
      </c>
      <c r="AP6" s="4" cm="1">
        <f t="array" ref="AP6">PQ2nits((2055+65*AO6)/(2055+31*65))</f>
        <v>113.54849272653058</v>
      </c>
      <c r="AQ6" cm="1">
        <f t="array" ref="AQ6">ROUND(PQ2nits((20*$AO6)/(2055+31*65)),3)</f>
        <v>1E-3</v>
      </c>
      <c r="AR6" s="11" t="s">
        <v>21</v>
      </c>
      <c r="AS6" s="10" t="s">
        <v>6</v>
      </c>
      <c r="AU6" s="12" t="s">
        <v>36</v>
      </c>
      <c r="AV6" s="6" t="s">
        <v>6</v>
      </c>
    </row>
    <row r="7" spans="2:54" x14ac:dyDescent="0.3">
      <c r="B7" s="55"/>
      <c r="C7" s="53">
        <v>2</v>
      </c>
      <c r="D7" s="9" t="s">
        <v>20</v>
      </c>
      <c r="E7" s="13" t="s">
        <v>19</v>
      </c>
      <c r="F7" s="13" t="s">
        <v>18</v>
      </c>
      <c r="G7" s="61">
        <v>0</v>
      </c>
      <c r="H7" s="13" t="s">
        <v>19</v>
      </c>
      <c r="I7" s="14" t="s">
        <v>27</v>
      </c>
      <c r="J7" s="24">
        <v>447</v>
      </c>
      <c r="K7" s="25">
        <v>0</v>
      </c>
      <c r="L7" s="15" t="s">
        <v>35</v>
      </c>
      <c r="M7" s="9">
        <f>INDEX(AX15:AX18,MATCH(I3,AU15:AU18,0))</f>
        <v>0.314</v>
      </c>
      <c r="N7" s="33" t="s">
        <v>18</v>
      </c>
      <c r="O7" s="22">
        <f>INDEX(AY15:AY18,MATCH($I$3,$AU$15:$AU$18,0))</f>
        <v>0.67200000000000004</v>
      </c>
      <c r="P7" s="33" t="s">
        <v>19</v>
      </c>
      <c r="Q7" s="22">
        <f>INDEX(AV15:AV18,MATCH($I$3,$AU$15:$AU$18,0))</f>
        <v>0.66700000000000004</v>
      </c>
      <c r="R7" s="23">
        <f>INDEX(AZ15:AZ18,MATCH($I$3,$AU$15:$AU$18,0))</f>
        <v>0.14799999999999999</v>
      </c>
      <c r="S7" s="9">
        <f>INDEX(AW15:AW18,MATCH($I$3,$AU$15:$AU$18,0))</f>
        <v>0.33100000000000002</v>
      </c>
      <c r="T7" s="23">
        <f>INDEX(BA15:BA18,MATCH($I$3,$AU$15:$AU$18,0))</f>
        <v>4.2000000000000003E-2</v>
      </c>
      <c r="V7" s="59"/>
      <c r="W7" s="59" t="s">
        <v>7</v>
      </c>
      <c r="X7" s="59" t="s">
        <v>148</v>
      </c>
      <c r="Y7" s="59" t="s">
        <v>148</v>
      </c>
      <c r="Z7" s="59" t="s">
        <v>148</v>
      </c>
      <c r="AA7" s="59" t="s">
        <v>148</v>
      </c>
      <c r="AB7" s="59" t="s">
        <v>148</v>
      </c>
      <c r="AC7" s="59" t="s">
        <v>148</v>
      </c>
      <c r="AD7" s="59" t="s">
        <v>7</v>
      </c>
      <c r="AE7" s="59" t="s">
        <v>75</v>
      </c>
      <c r="AF7" s="59" t="s">
        <v>149</v>
      </c>
      <c r="AG7" s="59" t="s">
        <v>6</v>
      </c>
      <c r="AH7" s="59" t="s">
        <v>7</v>
      </c>
      <c r="AI7" s="59" t="s">
        <v>6</v>
      </c>
      <c r="AJ7" s="59" t="s">
        <v>7</v>
      </c>
      <c r="AK7" s="59" t="s">
        <v>7</v>
      </c>
      <c r="AL7" s="59" t="s">
        <v>7</v>
      </c>
      <c r="AN7" s="4">
        <f>INT(AP7)</f>
        <v>132</v>
      </c>
      <c r="AO7">
        <v>2</v>
      </c>
      <c r="AP7" s="4" cm="1">
        <f t="array" ref="AP7">PQ2nits((2055+65*AO7)/(2055+31*65))</f>
        <v>132.85537796729577</v>
      </c>
      <c r="AQ7" cm="1">
        <f t="array" ref="AQ7">ROUND(PQ2nits((20*$AO7)/(2055+31*65)),3)</f>
        <v>2E-3</v>
      </c>
      <c r="AR7" s="11" t="s">
        <v>26</v>
      </c>
      <c r="AS7" s="10" t="s">
        <v>28</v>
      </c>
      <c r="AU7" s="12" t="s">
        <v>38</v>
      </c>
      <c r="AV7" s="6" t="s">
        <v>28</v>
      </c>
    </row>
    <row r="8" spans="2:54" s="7" customFormat="1" ht="15" thickBot="1" x14ac:dyDescent="0.35">
      <c r="B8" s="58"/>
      <c r="C8" s="54" t="s">
        <v>15</v>
      </c>
      <c r="D8" s="16" t="s">
        <v>15</v>
      </c>
      <c r="E8" s="17">
        <f>IF(EXACT(E7,"Supported"),1,0)</f>
        <v>0</v>
      </c>
      <c r="F8" s="17">
        <f>IF(EXACT(F7,"Supported"),1,0)</f>
        <v>1</v>
      </c>
      <c r="G8" s="19" t="str">
        <f>DEC2BIN(_xlfn.XLOOKUP(G7,AQ5:AQ36,AO5:AO36),5)</f>
        <v>00000</v>
      </c>
      <c r="H8" s="17">
        <f>IF(EXACT(H7,"Supported"),1,0)</f>
        <v>0</v>
      </c>
      <c r="I8" s="18" t="str">
        <f>IF(EXACT(E7,"Not Supported"),"11",INDEX(AS5:AS8,MATCH(I7,AR5:AR8,0)))</f>
        <v>11</v>
      </c>
      <c r="J8" s="19" t="str">
        <f>DEC2BIN(VLOOKUP(J7,AN5:AO36,2),5)</f>
        <v>01010</v>
      </c>
      <c r="K8" s="17">
        <v>0</v>
      </c>
      <c r="L8" s="18" t="str">
        <f>VLOOKUP(L7,AU5:AV8,2)</f>
        <v>00</v>
      </c>
      <c r="M8" s="26" t="str">
        <f>DEC2BIN(M7/( 0.49609375/127),7)</f>
        <v>1010000</v>
      </c>
      <c r="N8" s="20">
        <f>IF(AND(EXACT(N7,"Supported"),EXACT(P7,"Not Supported")),1,0)</f>
        <v>1</v>
      </c>
      <c r="O8" s="26" t="str">
        <f>DEC2BIN((O7-0.5)/((0.99609375-0.5)/127),7)</f>
        <v>0101100</v>
      </c>
      <c r="P8" s="20">
        <f>IF(AND(EXACT(P7,"Supported"),EXACT(N7,"Not Supported")),1,0)</f>
        <v>0</v>
      </c>
      <c r="Q8" s="19" t="str">
        <f>DEC2BIN((Q7-0.625)/((0.74609375-0.625)/31),5)</f>
        <v>01010</v>
      </c>
      <c r="R8" s="18" t="str">
        <f>DEC2BIN((R7-0.125)/((0.15234375-0.125)/7),3)</f>
        <v>101</v>
      </c>
      <c r="S8" s="19" t="str">
        <f>DEC2BIN((S7-0.25)/((0.37109375-0.25)/31),5)</f>
        <v>10100</v>
      </c>
      <c r="T8" s="18" t="str">
        <f>DEC2BIN((T7-0.03125)/((0.05859375-0.03125)/7),3)</f>
        <v>010</v>
      </c>
      <c r="V8" s="59"/>
      <c r="W8" s="59" t="s">
        <v>76</v>
      </c>
      <c r="X8" s="59" t="s">
        <v>77</v>
      </c>
      <c r="Y8" s="59" t="s">
        <v>6</v>
      </c>
      <c r="Z8" s="59" t="s">
        <v>78</v>
      </c>
      <c r="AA8" s="59" t="s">
        <v>79</v>
      </c>
      <c r="AB8" s="59" t="s">
        <v>80</v>
      </c>
      <c r="AC8" s="59" t="s">
        <v>81</v>
      </c>
      <c r="AD8" s="59" t="s">
        <v>82</v>
      </c>
      <c r="AE8" s="59" t="s">
        <v>150</v>
      </c>
      <c r="AF8" s="59" t="s">
        <v>151</v>
      </c>
      <c r="AG8" s="59" t="s">
        <v>83</v>
      </c>
      <c r="AH8" s="59" t="s">
        <v>149</v>
      </c>
      <c r="AI8" s="59" t="s">
        <v>84</v>
      </c>
      <c r="AJ8" s="59" t="s">
        <v>152</v>
      </c>
      <c r="AK8" s="59" t="s">
        <v>153</v>
      </c>
      <c r="AL8" s="59" t="s">
        <v>85</v>
      </c>
      <c r="AM8"/>
      <c r="AN8" s="4">
        <f>INT(AP8)</f>
        <v>155</v>
      </c>
      <c r="AO8">
        <v>3</v>
      </c>
      <c r="AP8" s="4" cm="1">
        <f t="array" ref="AP8">PQ2nits((2055+65*AO8)/(2055+31*65))</f>
        <v>155.21994460137429</v>
      </c>
      <c r="AQ8" cm="1">
        <f t="array" ref="AQ8">ROUND(PQ2nits((20*$AO8)/(2055+31*65)),3)</f>
        <v>5.0000000000000001E-3</v>
      </c>
      <c r="AR8" s="10" t="s">
        <v>27</v>
      </c>
      <c r="AS8" s="10" t="s">
        <v>29</v>
      </c>
      <c r="AU8" s="12" t="s">
        <v>39</v>
      </c>
      <c r="AV8" s="8" t="s">
        <v>29</v>
      </c>
    </row>
    <row r="9" spans="2:54" ht="15" thickBot="1" x14ac:dyDescent="0.35">
      <c r="V9" s="59"/>
      <c r="W9" s="59" t="s">
        <v>86</v>
      </c>
      <c r="X9" s="59" t="s">
        <v>87</v>
      </c>
      <c r="Y9" s="59" t="s">
        <v>152</v>
      </c>
      <c r="Z9" s="59" t="s">
        <v>88</v>
      </c>
      <c r="AA9" s="59" t="s">
        <v>89</v>
      </c>
      <c r="AB9" s="59" t="s">
        <v>7</v>
      </c>
      <c r="AC9" s="59" t="s">
        <v>90</v>
      </c>
      <c r="AD9" s="59" t="s">
        <v>79</v>
      </c>
      <c r="AE9" s="59" t="s">
        <v>91</v>
      </c>
      <c r="AF9" s="59" t="s">
        <v>92</v>
      </c>
      <c r="AG9" s="59" t="s">
        <v>93</v>
      </c>
      <c r="AH9" s="59" t="s">
        <v>92</v>
      </c>
      <c r="AI9" s="59" t="s">
        <v>94</v>
      </c>
      <c r="AJ9" s="59" t="s">
        <v>7</v>
      </c>
      <c r="AK9" s="59" t="s">
        <v>6</v>
      </c>
      <c r="AL9" s="59" t="s">
        <v>6</v>
      </c>
      <c r="AN9" s="4">
        <f t="shared" ref="AN9:AN13" si="0">INT(AP9)</f>
        <v>181</v>
      </c>
      <c r="AO9">
        <v>4</v>
      </c>
      <c r="AP9" s="4" cm="1">
        <f t="array" ref="AP9">PQ2nits((2055+65*AO9)/(2055+31*65))</f>
        <v>181.11079810347903</v>
      </c>
      <c r="AQ9" cm="1">
        <f t="array" ref="AQ9">ROUND(PQ2nits((20*$AO9)/(2055+31*65)),3)</f>
        <v>8.0000000000000002E-3</v>
      </c>
      <c r="AR9" s="5" t="s">
        <v>30</v>
      </c>
      <c r="AS9">
        <v>11</v>
      </c>
    </row>
    <row r="10" spans="2:54" x14ac:dyDescent="0.3">
      <c r="B10" s="46" t="s">
        <v>63</v>
      </c>
      <c r="C10" s="37" t="s">
        <v>70</v>
      </c>
      <c r="D10" s="38"/>
      <c r="E10" s="38"/>
      <c r="F10" s="38"/>
      <c r="G10" s="38"/>
      <c r="H10" s="38"/>
      <c r="I10" s="38"/>
      <c r="J10" s="39"/>
      <c r="V10" s="59"/>
      <c r="W10" s="59" t="s">
        <v>6</v>
      </c>
      <c r="X10" s="59" t="s">
        <v>6</v>
      </c>
      <c r="Y10" s="59" t="s">
        <v>6</v>
      </c>
      <c r="Z10" s="59" t="s">
        <v>6</v>
      </c>
      <c r="AA10" s="59" t="s">
        <v>6</v>
      </c>
      <c r="AB10" s="59" t="s">
        <v>6</v>
      </c>
      <c r="AC10" s="59" t="s">
        <v>89</v>
      </c>
      <c r="AD10" s="59" t="s">
        <v>154</v>
      </c>
      <c r="AE10" s="59" t="s">
        <v>7</v>
      </c>
      <c r="AF10" s="59" t="s">
        <v>95</v>
      </c>
      <c r="AG10" s="59" t="s">
        <v>155</v>
      </c>
      <c r="AH10" s="59" t="s">
        <v>96</v>
      </c>
      <c r="AI10" s="59" t="s">
        <v>156</v>
      </c>
      <c r="AJ10" s="59" t="s">
        <v>79</v>
      </c>
      <c r="AK10" s="59" t="s">
        <v>153</v>
      </c>
      <c r="AL10" s="59" t="s">
        <v>97</v>
      </c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Q10" cm="1">
        <f t="array" ref="AQ10">ROUND(PQ2nits((20*$AO10)/(2055+31*65)),3)</f>
        <v>1.2999999999999999E-2</v>
      </c>
      <c r="AR10" s="5"/>
    </row>
    <row r="11" spans="2:54" ht="15" thickBot="1" x14ac:dyDescent="0.35">
      <c r="B11" s="47" t="s">
        <v>64</v>
      </c>
      <c r="C11" s="35" t="s">
        <v>147</v>
      </c>
      <c r="J11" s="40"/>
      <c r="V11" s="59"/>
      <c r="W11" s="59" t="s">
        <v>157</v>
      </c>
      <c r="X11" s="59" t="s">
        <v>7</v>
      </c>
      <c r="Y11" s="59" t="s">
        <v>98</v>
      </c>
      <c r="Z11" s="59" t="s">
        <v>158</v>
      </c>
      <c r="AA11" s="59" t="s">
        <v>83</v>
      </c>
      <c r="AB11" s="59" t="s">
        <v>7</v>
      </c>
      <c r="AC11" s="59" t="s">
        <v>7</v>
      </c>
      <c r="AD11" s="59" t="s">
        <v>159</v>
      </c>
      <c r="AE11" s="59" t="s">
        <v>99</v>
      </c>
      <c r="AF11" s="59" t="s">
        <v>160</v>
      </c>
      <c r="AG11" s="59" t="s">
        <v>79</v>
      </c>
      <c r="AH11" s="59" t="s">
        <v>100</v>
      </c>
      <c r="AI11" s="59" t="s">
        <v>101</v>
      </c>
      <c r="AJ11" s="59" t="s">
        <v>102</v>
      </c>
      <c r="AK11" s="59" t="s">
        <v>161</v>
      </c>
      <c r="AL11" s="59" t="s">
        <v>92</v>
      </c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Q11" cm="1">
        <f t="array" ref="AQ11">ROUND(PQ2nits((20*$AO11)/(2055+31*65)),3)</f>
        <v>1.9E-2</v>
      </c>
      <c r="AR11" s="5"/>
    </row>
    <row r="12" spans="2:54" x14ac:dyDescent="0.3">
      <c r="B12" s="49" t="s">
        <v>0</v>
      </c>
      <c r="C12" s="50" t="str">
        <f>_xlfn.CONCAT(B5:T5)</f>
        <v>EB0146D000490350A15855A2</v>
      </c>
      <c r="D12" s="50"/>
      <c r="E12" s="50"/>
      <c r="F12" s="50"/>
      <c r="G12" s="50"/>
      <c r="H12" s="50"/>
      <c r="I12" s="50"/>
      <c r="J12" s="51"/>
      <c r="V12" s="59"/>
      <c r="W12" s="59" t="s">
        <v>97</v>
      </c>
      <c r="X12" s="59" t="s">
        <v>162</v>
      </c>
      <c r="Y12" s="59" t="s">
        <v>91</v>
      </c>
      <c r="Z12" s="59" t="s">
        <v>7</v>
      </c>
      <c r="AA12" s="59" t="s">
        <v>98</v>
      </c>
      <c r="AB12" s="59" t="s">
        <v>158</v>
      </c>
      <c r="AC12" s="59" t="s">
        <v>83</v>
      </c>
      <c r="AD12" s="59" t="s">
        <v>7</v>
      </c>
      <c r="AE12" s="59" t="s">
        <v>7</v>
      </c>
      <c r="AF12" s="59" t="s">
        <v>159</v>
      </c>
      <c r="AG12" s="59" t="s">
        <v>7</v>
      </c>
      <c r="AH12" s="59" t="s">
        <v>7</v>
      </c>
      <c r="AI12" s="59" t="s">
        <v>7</v>
      </c>
      <c r="AJ12" s="59" t="s">
        <v>163</v>
      </c>
      <c r="AK12" s="59" t="s">
        <v>7</v>
      </c>
      <c r="AL12" s="59" t="s">
        <v>164</v>
      </c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  <c r="AQ12" cm="1">
        <f t="array" ref="AQ12">ROUND(PQ2nits((20*$AO12)/(2055+31*65)),3)</f>
        <v>2.5999999999999999E-2</v>
      </c>
    </row>
    <row r="13" spans="2:54" x14ac:dyDescent="0.3">
      <c r="B13" s="48" t="s">
        <v>62</v>
      </c>
      <c r="C13" s="42" t="str" cm="1">
        <f t="array" ref="C13">EDIDCheckSum(C12)</f>
        <v>4C</v>
      </c>
      <c r="D13" s="36"/>
      <c r="E13" s="36"/>
      <c r="F13" s="36"/>
      <c r="G13" s="36"/>
      <c r="H13" s="36"/>
      <c r="I13" s="36"/>
      <c r="J13" s="41"/>
      <c r="V13" s="59"/>
      <c r="W13" s="59" t="s">
        <v>91</v>
      </c>
      <c r="X13" s="59" t="s">
        <v>103</v>
      </c>
      <c r="Y13" s="59" t="s">
        <v>161</v>
      </c>
      <c r="Z13" s="59" t="s">
        <v>165</v>
      </c>
      <c r="AA13" s="59" t="s">
        <v>161</v>
      </c>
      <c r="AB13" s="59" t="s">
        <v>104</v>
      </c>
      <c r="AC13" s="59" t="s">
        <v>161</v>
      </c>
      <c r="AD13" s="59" t="s">
        <v>87</v>
      </c>
      <c r="AE13" s="59" t="s">
        <v>150</v>
      </c>
      <c r="AF13" s="59" t="s">
        <v>105</v>
      </c>
      <c r="AG13" s="59" t="s">
        <v>105</v>
      </c>
      <c r="AH13" s="59" t="s">
        <v>105</v>
      </c>
      <c r="AI13" s="59" t="s">
        <v>7</v>
      </c>
      <c r="AJ13" s="59" t="s">
        <v>7</v>
      </c>
      <c r="AK13" s="59" t="s">
        <v>7</v>
      </c>
      <c r="AL13" s="59" t="s">
        <v>166</v>
      </c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  <c r="AQ13" cm="1">
        <f t="array" ref="AQ13">ROUND(PQ2nits((20*$AO13)/(2055+31*65)),3)</f>
        <v>3.5000000000000003E-2</v>
      </c>
    </row>
    <row r="14" spans="2:54" x14ac:dyDescent="0.3">
      <c r="B14" s="67" t="str">
        <f>_xlfn.CONCAT("Patch ",MID(C14,4,4))</f>
        <v>Patch 8130</v>
      </c>
      <c r="C14" s="68" t="s">
        <v>210</v>
      </c>
      <c r="D14" s="36"/>
      <c r="E14" s="36"/>
      <c r="F14" s="36"/>
      <c r="G14" s="36" t="str" cm="1">
        <f t="array" ref="G14">IntelHexChecksum(RIGHT(C14,40))</f>
        <v>B3</v>
      </c>
      <c r="H14" s="36"/>
      <c r="I14" s="36"/>
      <c r="J14" s="41"/>
      <c r="V14" s="59"/>
      <c r="W14" s="59" t="s">
        <v>7</v>
      </c>
      <c r="X14" s="59" t="s">
        <v>100</v>
      </c>
      <c r="Y14" s="59" t="s">
        <v>167</v>
      </c>
      <c r="Z14" s="59" t="s">
        <v>168</v>
      </c>
      <c r="AA14" s="59" t="s">
        <v>106</v>
      </c>
      <c r="AB14" s="59" t="s">
        <v>169</v>
      </c>
      <c r="AC14" s="59" t="s">
        <v>7</v>
      </c>
      <c r="AD14" s="59" t="s">
        <v>150</v>
      </c>
      <c r="AE14" s="59" t="s">
        <v>105</v>
      </c>
      <c r="AF14" s="59" t="s">
        <v>105</v>
      </c>
      <c r="AG14" s="59" t="s">
        <v>105</v>
      </c>
      <c r="AH14" s="59" t="s">
        <v>105</v>
      </c>
      <c r="AI14" s="59" t="s">
        <v>105</v>
      </c>
      <c r="AJ14" s="59" t="s">
        <v>105</v>
      </c>
      <c r="AK14" s="59" t="s">
        <v>6</v>
      </c>
      <c r="AL14" s="59" t="s">
        <v>87</v>
      </c>
      <c r="AN14" s="4">
        <f>INT(AP14)</f>
        <v>385</v>
      </c>
      <c r="AO14">
        <v>9</v>
      </c>
      <c r="AP14" s="4" cm="1">
        <f t="array" ref="AP14">PQ2nits((2055+65*AO14)/(2055+31*65))</f>
        <v>385.60127757797198</v>
      </c>
      <c r="AQ14" cm="1">
        <f t="array" ref="AQ14">ROUND(PQ2nits((20*$AO14)/(2055+31*65)),3)</f>
        <v>4.5999999999999999E-2</v>
      </c>
      <c r="AU14" t="s">
        <v>41</v>
      </c>
      <c r="AV14" t="s">
        <v>45</v>
      </c>
      <c r="AW14" t="s">
        <v>46</v>
      </c>
      <c r="AX14" t="s">
        <v>47</v>
      </c>
      <c r="AY14" t="s">
        <v>48</v>
      </c>
      <c r="AZ14" t="s">
        <v>49</v>
      </c>
      <c r="BA14" t="s">
        <v>50</v>
      </c>
      <c r="BB14" t="s">
        <v>54</v>
      </c>
    </row>
    <row r="15" spans="2:54" x14ac:dyDescent="0.3">
      <c r="B15" s="67" t="str">
        <f t="shared" ref="B15:B30" si="1">_xlfn.CONCAT("Patch ",MID(C15,4,4))</f>
        <v>Patch 8140</v>
      </c>
      <c r="C15" s="68" t="s">
        <v>194</v>
      </c>
      <c r="D15" s="36"/>
      <c r="E15" s="36"/>
      <c r="F15" s="36"/>
      <c r="G15" s="36" t="str" cm="1">
        <f t="array" ref="G15">IntelHexChecksum(RIGHT(C15,40))</f>
        <v>3E</v>
      </c>
      <c r="H15" s="36"/>
      <c r="I15" s="36"/>
      <c r="J15" s="41"/>
      <c r="V15" s="62" t="s">
        <v>107</v>
      </c>
      <c r="W15" s="59" t="s">
        <v>99</v>
      </c>
      <c r="X15" s="59" t="s">
        <v>78</v>
      </c>
      <c r="Y15" s="69" t="s">
        <v>170</v>
      </c>
      <c r="Z15" s="59" t="s">
        <v>155</v>
      </c>
      <c r="AA15" s="59" t="s">
        <v>108</v>
      </c>
      <c r="AB15" s="59" t="s">
        <v>93</v>
      </c>
      <c r="AC15" s="59" t="s">
        <v>109</v>
      </c>
      <c r="AD15" s="59" t="s">
        <v>110</v>
      </c>
      <c r="AE15" s="59" t="s">
        <v>111</v>
      </c>
      <c r="AF15" s="59" t="s">
        <v>6</v>
      </c>
      <c r="AG15" s="59" t="s">
        <v>78</v>
      </c>
      <c r="AH15" s="59" t="s">
        <v>76</v>
      </c>
      <c r="AI15" s="59" t="s">
        <v>112</v>
      </c>
      <c r="AJ15" s="59" t="s">
        <v>113</v>
      </c>
      <c r="AK15" s="59" t="s">
        <v>28</v>
      </c>
      <c r="AL15" s="59" t="s">
        <v>114</v>
      </c>
      <c r="AM15">
        <v>16</v>
      </c>
      <c r="AN15" s="4">
        <f t="shared" ref="AN15:AN36" si="2">INT(AP15)</f>
        <v>447</v>
      </c>
      <c r="AO15">
        <v>10</v>
      </c>
      <c r="AP15" s="4" cm="1">
        <f t="array" ref="AP15">PQ2nits((2055+65*AO15)/(2055+31*65))</f>
        <v>447.44243145789636</v>
      </c>
      <c r="AQ15" cm="1">
        <f t="array" ref="AQ15">ROUND(PQ2nits((20*$AO15)/(2055+31*65)),3)</f>
        <v>5.8000000000000003E-2</v>
      </c>
      <c r="AU15" s="6" t="s">
        <v>42</v>
      </c>
      <c r="AV15" s="21">
        <v>0.64</v>
      </c>
      <c r="AW15" s="21">
        <v>0.33</v>
      </c>
      <c r="AX15" s="21">
        <v>0.3</v>
      </c>
      <c r="AY15" s="21">
        <v>0.6</v>
      </c>
      <c r="AZ15" s="21">
        <v>0.15</v>
      </c>
      <c r="BA15" s="21">
        <v>0.06</v>
      </c>
      <c r="BB15" t="s">
        <v>53</v>
      </c>
    </row>
    <row r="16" spans="2:54" x14ac:dyDescent="0.3">
      <c r="B16" s="67" t="str">
        <f t="shared" si="1"/>
        <v>Patch 8150</v>
      </c>
      <c r="C16" s="68" t="s">
        <v>195</v>
      </c>
      <c r="D16" s="36"/>
      <c r="E16" s="36"/>
      <c r="F16" s="36"/>
      <c r="G16" s="36" t="str" cm="1">
        <f t="array" ref="G16">IntelHexChecksum(RIGHT(C16,40))</f>
        <v>B8</v>
      </c>
      <c r="H16" s="36"/>
      <c r="I16" s="36"/>
      <c r="J16" s="41"/>
      <c r="V16" s="59"/>
      <c r="W16" s="59" t="s">
        <v>115</v>
      </c>
      <c r="X16" s="59" t="s">
        <v>116</v>
      </c>
      <c r="Y16" s="59" t="s">
        <v>117</v>
      </c>
      <c r="Z16" s="59" t="s">
        <v>171</v>
      </c>
      <c r="AA16" s="59" t="s">
        <v>105</v>
      </c>
      <c r="AB16" s="59" t="s">
        <v>118</v>
      </c>
      <c r="AC16" s="59" t="s">
        <v>172</v>
      </c>
      <c r="AD16" s="59" t="s">
        <v>92</v>
      </c>
      <c r="AE16" s="59" t="s">
        <v>119</v>
      </c>
      <c r="AF16" s="59" t="s">
        <v>168</v>
      </c>
      <c r="AG16" s="59" t="s">
        <v>173</v>
      </c>
      <c r="AH16" s="59" t="s">
        <v>113</v>
      </c>
      <c r="AI16" s="59" t="s">
        <v>174</v>
      </c>
      <c r="AJ16" s="59" t="s">
        <v>159</v>
      </c>
      <c r="AK16" s="59" t="s">
        <v>98</v>
      </c>
      <c r="AL16" s="59" t="s">
        <v>120</v>
      </c>
      <c r="AM16">
        <v>32</v>
      </c>
      <c r="AN16" s="4">
        <f t="shared" si="2"/>
        <v>518</v>
      </c>
      <c r="AO16">
        <v>11</v>
      </c>
      <c r="AP16" s="4" cm="1">
        <f t="array" ref="AP16">PQ2nits((2055+65*AO16)/(2055+31*65))</f>
        <v>518.90120035135783</v>
      </c>
      <c r="AQ16" cm="1">
        <f t="array" ref="AQ16">ROUND(PQ2nits((20*$AO16)/(2055+31*65)),3)</f>
        <v>7.1999999999999995E-2</v>
      </c>
      <c r="AU16" s="6" t="s">
        <v>43</v>
      </c>
      <c r="AV16" s="21">
        <v>0.70799999999999996</v>
      </c>
      <c r="AW16" s="21">
        <v>0.29199999999999998</v>
      </c>
      <c r="AX16" s="21">
        <v>0.17</v>
      </c>
      <c r="AY16" s="21">
        <v>0.79700000000000004</v>
      </c>
      <c r="AZ16" s="21">
        <v>0.13100000000000001</v>
      </c>
      <c r="BA16" s="21">
        <v>4.5999999999999999E-2</v>
      </c>
      <c r="BB16" t="s">
        <v>51</v>
      </c>
    </row>
    <row r="17" spans="2:54" x14ac:dyDescent="0.3">
      <c r="B17" s="67" t="str">
        <f t="shared" si="1"/>
        <v>Patch 8160</v>
      </c>
      <c r="C17" s="68" t="s">
        <v>196</v>
      </c>
      <c r="D17" s="36"/>
      <c r="E17" s="36"/>
      <c r="F17" s="36"/>
      <c r="G17" s="36" t="str" cm="1">
        <f t="array" ref="G17">IntelHexChecksum(RIGHT(C17,40))</f>
        <v>DA</v>
      </c>
      <c r="H17" s="36"/>
      <c r="I17" s="36"/>
      <c r="J17" s="41"/>
      <c r="V17" s="59"/>
      <c r="W17" s="59" t="s">
        <v>113</v>
      </c>
      <c r="X17" s="59" t="s">
        <v>98</v>
      </c>
      <c r="Y17" s="59" t="s">
        <v>175</v>
      </c>
      <c r="Z17" s="59" t="s">
        <v>176</v>
      </c>
      <c r="AA17" s="59" t="s">
        <v>6</v>
      </c>
      <c r="AB17" s="59" t="s">
        <v>84</v>
      </c>
      <c r="AC17" s="59" t="s">
        <v>113</v>
      </c>
      <c r="AD17" s="59" t="s">
        <v>6</v>
      </c>
      <c r="AE17" s="59" t="s">
        <v>121</v>
      </c>
      <c r="AF17" s="59" t="s">
        <v>176</v>
      </c>
      <c r="AG17" s="59" t="s">
        <v>78</v>
      </c>
      <c r="AH17" s="59" t="s">
        <v>122</v>
      </c>
      <c r="AI17" s="59" t="s">
        <v>175</v>
      </c>
      <c r="AJ17" s="59" t="s">
        <v>7</v>
      </c>
      <c r="AK17" s="59" t="s">
        <v>7</v>
      </c>
      <c r="AL17" s="59" t="s">
        <v>177</v>
      </c>
      <c r="AM17">
        <v>48</v>
      </c>
      <c r="AN17" s="4">
        <f t="shared" si="2"/>
        <v>601</v>
      </c>
      <c r="AO17">
        <v>12</v>
      </c>
      <c r="AP17" s="4" cm="1">
        <f t="array" ref="AP17">PQ2nits((2055+65*AO17)/(2055+31*65))</f>
        <v>601.47603811806903</v>
      </c>
      <c r="AQ17" cm="1">
        <f t="array" ref="AQ17">ROUND(PQ2nits((20*$AO17)/(2055+31*65)),3)</f>
        <v>8.7999999999999995E-2</v>
      </c>
      <c r="AU17" s="6" t="s">
        <v>44</v>
      </c>
      <c r="AV17" s="21">
        <v>0.68</v>
      </c>
      <c r="AW17" s="21">
        <v>0.32</v>
      </c>
      <c r="AX17" s="21">
        <v>0.26500000000000001</v>
      </c>
      <c r="AY17" s="21">
        <v>0.69</v>
      </c>
      <c r="AZ17" s="21">
        <v>0.15</v>
      </c>
      <c r="BA17" s="21">
        <v>0.06</v>
      </c>
      <c r="BB17" t="s">
        <v>52</v>
      </c>
    </row>
    <row r="18" spans="2:54" x14ac:dyDescent="0.3">
      <c r="B18" s="67" t="str">
        <f t="shared" si="1"/>
        <v>Patch 8170</v>
      </c>
      <c r="C18" s="68" t="s">
        <v>197</v>
      </c>
      <c r="D18" s="36"/>
      <c r="E18" s="36"/>
      <c r="F18" s="36"/>
      <c r="G18" s="36" t="str" cm="1">
        <f t="array" ref="G18">IntelHexChecksum(RIGHT(C18,40))</f>
        <v>0D</v>
      </c>
      <c r="H18" s="36"/>
      <c r="I18" s="36"/>
      <c r="J18" s="41"/>
      <c r="V18" s="59"/>
      <c r="W18" s="59" t="s">
        <v>112</v>
      </c>
      <c r="X18" s="59" t="s">
        <v>178</v>
      </c>
      <c r="Y18" s="59" t="s">
        <v>7</v>
      </c>
      <c r="Z18" s="59" t="s">
        <v>179</v>
      </c>
      <c r="AA18" s="59" t="s">
        <v>78</v>
      </c>
      <c r="AB18" s="59" t="s">
        <v>180</v>
      </c>
      <c r="AC18" s="59" t="s">
        <v>7</v>
      </c>
      <c r="AD18" s="59" t="s">
        <v>28</v>
      </c>
      <c r="AE18" s="59" t="s">
        <v>7</v>
      </c>
      <c r="AF18" s="59" t="s">
        <v>102</v>
      </c>
      <c r="AG18" s="59" t="s">
        <v>169</v>
      </c>
      <c r="AH18" s="59" t="s">
        <v>105</v>
      </c>
      <c r="AI18" s="59" t="s">
        <v>79</v>
      </c>
      <c r="AJ18" s="59" t="s">
        <v>79</v>
      </c>
      <c r="AK18" s="59" t="s">
        <v>6</v>
      </c>
      <c r="AL18" s="59" t="s">
        <v>99</v>
      </c>
      <c r="AM18">
        <v>64</v>
      </c>
      <c r="AN18" s="4">
        <f t="shared" si="2"/>
        <v>696</v>
      </c>
      <c r="AO18">
        <v>13</v>
      </c>
      <c r="AP18" s="4" cm="1">
        <f t="array" ref="AP18">PQ2nits((2055+65*AO18)/(2055+31*65))</f>
        <v>696.90573691813393</v>
      </c>
      <c r="AQ18" cm="1">
        <f t="array" ref="AQ18">ROUND(PQ2nits((20*$AO18)/(2055+31*65)),3)</f>
        <v>0.106</v>
      </c>
      <c r="AU18" t="s">
        <v>71</v>
      </c>
      <c r="AV18" s="21">
        <v>0.66700000000000004</v>
      </c>
      <c r="AW18" s="21">
        <v>0.33100000000000002</v>
      </c>
      <c r="AX18" s="21">
        <v>0.314</v>
      </c>
      <c r="AY18" s="21">
        <v>0.67200000000000004</v>
      </c>
      <c r="AZ18" s="21">
        <v>0.14799999999999999</v>
      </c>
      <c r="BA18" s="21">
        <v>4.2000000000000003E-2</v>
      </c>
    </row>
    <row r="19" spans="2:54" x14ac:dyDescent="0.3">
      <c r="B19" s="67" t="str">
        <f t="shared" si="1"/>
        <v>Patch 8180</v>
      </c>
      <c r="C19" s="68" t="s">
        <v>198</v>
      </c>
      <c r="D19" s="36"/>
      <c r="E19" s="36"/>
      <c r="F19" s="36"/>
      <c r="G19" s="36" t="str" cm="1">
        <f t="array" ref="G19">IntelHexChecksum(RIGHT(C19,40))</f>
        <v>82</v>
      </c>
      <c r="H19" s="36"/>
      <c r="I19" s="36"/>
      <c r="J19" s="41"/>
      <c r="V19" s="59"/>
      <c r="W19" s="59" t="s">
        <v>78</v>
      </c>
      <c r="X19" s="59" t="s">
        <v>76</v>
      </c>
      <c r="Y19" s="59" t="s">
        <v>181</v>
      </c>
      <c r="Z19" s="59" t="s">
        <v>168</v>
      </c>
      <c r="AA19" s="59" t="s">
        <v>168</v>
      </c>
      <c r="AB19" s="59" t="s">
        <v>121</v>
      </c>
      <c r="AC19" s="59" t="s">
        <v>182</v>
      </c>
      <c r="AD19" s="59" t="s">
        <v>170</v>
      </c>
      <c r="AE19" s="59" t="s">
        <v>183</v>
      </c>
      <c r="AF19" s="59" t="s">
        <v>6</v>
      </c>
      <c r="AG19" s="59" t="s">
        <v>82</v>
      </c>
      <c r="AH19" s="59" t="s">
        <v>79</v>
      </c>
      <c r="AI19" s="59" t="s">
        <v>78</v>
      </c>
      <c r="AJ19" s="59" t="s">
        <v>177</v>
      </c>
      <c r="AK19" s="59" t="s">
        <v>123</v>
      </c>
      <c r="AL19" s="59" t="s">
        <v>112</v>
      </c>
      <c r="AM19">
        <v>80</v>
      </c>
      <c r="AN19" s="4">
        <f t="shared" si="2"/>
        <v>807</v>
      </c>
      <c r="AO19">
        <v>14</v>
      </c>
      <c r="AP19" s="4" cm="1">
        <f t="array" ref="AP19">PQ2nits((2055+65*AO19)/(2055+31*65))</f>
        <v>807.20984771936151</v>
      </c>
      <c r="AQ19" cm="1">
        <f t="array" ref="AQ19">ROUND(PQ2nits((20*$AO19)/(2055+31*65)),3)</f>
        <v>0.127</v>
      </c>
    </row>
    <row r="20" spans="2:54" x14ac:dyDescent="0.3">
      <c r="B20" s="67" t="str">
        <f t="shared" si="1"/>
        <v>Patch 8190</v>
      </c>
      <c r="C20" s="68" t="s">
        <v>199</v>
      </c>
      <c r="D20" s="36"/>
      <c r="E20" s="36"/>
      <c r="F20" s="36"/>
      <c r="G20" s="36" t="str" cm="1">
        <f t="array" ref="G20">IntelHexChecksum(RIGHT(C20,40))</f>
        <v>CA</v>
      </c>
      <c r="H20" s="36"/>
      <c r="I20" s="36"/>
      <c r="J20" s="41"/>
      <c r="V20" s="59"/>
      <c r="W20" s="59" t="s">
        <v>6</v>
      </c>
      <c r="X20" s="59" t="s">
        <v>124</v>
      </c>
      <c r="Y20" s="59" t="s">
        <v>6</v>
      </c>
      <c r="Z20" s="59" t="s">
        <v>125</v>
      </c>
      <c r="AA20" s="59" t="s">
        <v>184</v>
      </c>
      <c r="AB20" s="59" t="s">
        <v>7</v>
      </c>
      <c r="AC20" s="59" t="s">
        <v>185</v>
      </c>
      <c r="AD20" s="59" t="s">
        <v>150</v>
      </c>
      <c r="AE20" s="59" t="s">
        <v>86</v>
      </c>
      <c r="AF20" s="59" t="s">
        <v>186</v>
      </c>
      <c r="AG20" s="59" t="s">
        <v>79</v>
      </c>
      <c r="AH20" s="59" t="s">
        <v>187</v>
      </c>
      <c r="AI20" s="59" t="s">
        <v>188</v>
      </c>
      <c r="AJ20" s="59" t="s">
        <v>189</v>
      </c>
      <c r="AK20" s="59" t="s">
        <v>150</v>
      </c>
      <c r="AL20" s="59" t="s">
        <v>184</v>
      </c>
      <c r="AM20">
        <v>96</v>
      </c>
      <c r="AN20" s="4">
        <f t="shared" si="2"/>
        <v>934</v>
      </c>
      <c r="AO20">
        <v>15</v>
      </c>
      <c r="AP20" s="4" cm="1">
        <f t="array" ref="AP20">PQ2nits((2055+65*AO20)/(2055+31*65))</f>
        <v>934.73630576927678</v>
      </c>
      <c r="AQ20" cm="1">
        <f t="array" ref="AQ20">ROUND(PQ2nits((20*$AO20)/(2055+31*65)),3)</f>
        <v>0.15</v>
      </c>
    </row>
    <row r="21" spans="2:54" x14ac:dyDescent="0.3">
      <c r="B21" s="67" t="str">
        <f t="shared" si="1"/>
        <v>Patch 81A0</v>
      </c>
      <c r="C21" s="68" t="s">
        <v>200</v>
      </c>
      <c r="D21" s="36"/>
      <c r="E21" s="36"/>
      <c r="F21" s="36"/>
      <c r="G21" s="36" t="str" cm="1">
        <f t="array" ref="G21">IntelHexChecksum(RIGHT(C21,40))</f>
        <v>FF</v>
      </c>
      <c r="H21" s="36"/>
      <c r="I21" s="36"/>
      <c r="J21" s="41"/>
      <c r="V21" s="59"/>
      <c r="W21" s="76" t="s">
        <v>157</v>
      </c>
      <c r="X21" s="76" t="s">
        <v>105</v>
      </c>
      <c r="Y21" s="76" t="s">
        <v>190</v>
      </c>
      <c r="Z21" s="59" t="s">
        <v>161</v>
      </c>
      <c r="AA21" s="59" t="s">
        <v>28</v>
      </c>
      <c r="AB21" s="75" t="s">
        <v>28</v>
      </c>
      <c r="AC21" s="59" t="s">
        <v>191</v>
      </c>
      <c r="AD21" s="59" t="s">
        <v>126</v>
      </c>
      <c r="AE21" s="59" t="s">
        <v>7</v>
      </c>
      <c r="AF21" s="59" t="s">
        <v>183</v>
      </c>
      <c r="AG21" s="59" t="s">
        <v>192</v>
      </c>
      <c r="AH21" s="59" t="s">
        <v>88</v>
      </c>
      <c r="AI21" s="59" t="s">
        <v>7</v>
      </c>
      <c r="AJ21" s="59" t="s">
        <v>7</v>
      </c>
      <c r="AK21" s="59" t="s">
        <v>100</v>
      </c>
      <c r="AL21" s="59" t="s">
        <v>7</v>
      </c>
      <c r="AM21">
        <v>112</v>
      </c>
      <c r="AN21" s="4">
        <f t="shared" si="2"/>
        <v>1082</v>
      </c>
      <c r="AO21">
        <v>16</v>
      </c>
      <c r="AP21" s="4" cm="1">
        <f t="array" ref="AP21">PQ2nits((2055+65*AO21)/(2055+31*65))</f>
        <v>1082.2176298226216</v>
      </c>
      <c r="AQ21" cm="1">
        <f t="array" ref="AQ21">ROUND(PQ2nits((20*$AO21)/(2055+31*65)),3)</f>
        <v>0.17599999999999999</v>
      </c>
    </row>
    <row r="22" spans="2:54" x14ac:dyDescent="0.3">
      <c r="B22" s="67" t="str">
        <f t="shared" si="1"/>
        <v>Patch 81B0</v>
      </c>
      <c r="C22" s="68" t="s">
        <v>201</v>
      </c>
      <c r="D22" s="36"/>
      <c r="E22" s="36"/>
      <c r="F22" s="36"/>
      <c r="G22" s="36" t="str" cm="1">
        <f t="array" ref="G22">IntelHexChecksum(RIGHT(C22,40))</f>
        <v>8A</v>
      </c>
      <c r="H22" s="36"/>
      <c r="I22" s="36"/>
      <c r="J22" s="41"/>
      <c r="V22" s="59"/>
      <c r="W22" s="59" t="s">
        <v>7</v>
      </c>
      <c r="X22" s="59" t="s">
        <v>7</v>
      </c>
      <c r="Y22" s="59" t="s">
        <v>7</v>
      </c>
      <c r="Z22" s="59" t="s">
        <v>7</v>
      </c>
      <c r="AA22" s="59" t="s">
        <v>7</v>
      </c>
      <c r="AB22" s="59" t="s">
        <v>7</v>
      </c>
      <c r="AC22" s="59" t="s">
        <v>7</v>
      </c>
      <c r="AD22" s="59" t="s">
        <v>7</v>
      </c>
      <c r="AE22" s="59" t="s">
        <v>7</v>
      </c>
      <c r="AF22" s="59" t="s">
        <v>7</v>
      </c>
      <c r="AG22" s="59" t="s">
        <v>7</v>
      </c>
      <c r="AH22" s="59" t="s">
        <v>7</v>
      </c>
      <c r="AI22" s="59" t="s">
        <v>7</v>
      </c>
      <c r="AJ22" s="59" t="s">
        <v>7</v>
      </c>
      <c r="AK22" s="59" t="s">
        <v>7</v>
      </c>
      <c r="AL22" s="69" t="s">
        <v>193</v>
      </c>
      <c r="AM22">
        <v>128</v>
      </c>
      <c r="AN22" s="4">
        <f t="shared" si="2"/>
        <v>1252</v>
      </c>
      <c r="AO22">
        <v>17</v>
      </c>
      <c r="AP22" s="4" cm="1">
        <f t="array" ref="AP22">PQ2nits((2055+65*AO22)/(2055+31*65))</f>
        <v>1252.8373417551975</v>
      </c>
      <c r="AQ22" cm="1">
        <f t="array" ref="AQ22">ROUND(PQ2nits((20*$AO22)/(2055+31*65)),3)</f>
        <v>0.20399999999999999</v>
      </c>
    </row>
    <row r="23" spans="2:54" x14ac:dyDescent="0.3">
      <c r="B23" s="67" t="str">
        <f t="shared" si="1"/>
        <v>Patch 81C0</v>
      </c>
      <c r="C23" s="68" t="s">
        <v>202</v>
      </c>
      <c r="D23" s="36"/>
      <c r="E23" s="36"/>
      <c r="F23" s="36"/>
      <c r="G23" s="36" t="str" cm="1">
        <f t="array" ref="G23">IntelHexChecksum(RIGHT(C23,40))</f>
        <v>24</v>
      </c>
      <c r="H23" s="36"/>
      <c r="I23" s="36"/>
      <c r="J23" s="41"/>
      <c r="V23" s="59"/>
      <c r="AN23" s="4">
        <f t="shared" si="2"/>
        <v>1450</v>
      </c>
      <c r="AO23">
        <v>18</v>
      </c>
      <c r="AP23" s="4" cm="1">
        <f t="array" ref="AP23">PQ2nits((2055+65*AO23)/(2055+31*65))</f>
        <v>1450.3085913304442</v>
      </c>
      <c r="AQ23" cm="1">
        <f t="array" ref="AQ23">ROUND(PQ2nits((20*$AO23)/(2055+31*65)),3)</f>
        <v>0.23599999999999999</v>
      </c>
    </row>
    <row r="24" spans="2:54" x14ac:dyDescent="0.3">
      <c r="B24" s="67" t="str">
        <f t="shared" si="1"/>
        <v>Patch 81D0</v>
      </c>
      <c r="C24" s="68" t="s">
        <v>203</v>
      </c>
      <c r="D24" s="36"/>
      <c r="E24" s="36"/>
      <c r="F24" s="36"/>
      <c r="G24" s="36" t="str" cm="1">
        <f t="array" ref="G24">IntelHexChecksum(RIGHT(C24,40))</f>
        <v>CB</v>
      </c>
      <c r="H24" s="36"/>
      <c r="I24" s="36"/>
      <c r="J24" s="41"/>
      <c r="U24" t="s">
        <v>127</v>
      </c>
      <c r="V24" s="71" t="s">
        <v>128</v>
      </c>
      <c r="AN24" s="4">
        <f t="shared" si="2"/>
        <v>1678</v>
      </c>
      <c r="AO24">
        <v>19</v>
      </c>
      <c r="AP24" s="4" cm="1">
        <f t="array" ref="AP24">PQ2nits((2055+65*AO24)/(2055+31*65))</f>
        <v>1678.9673833059749</v>
      </c>
      <c r="AQ24" cm="1">
        <f t="array" ref="AQ24">ROUND(PQ2nits((20*$AO24)/(2055+31*65)),3)</f>
        <v>0.27100000000000002</v>
      </c>
    </row>
    <row r="25" spans="2:54" x14ac:dyDescent="0.3">
      <c r="B25" s="67" t="str">
        <f t="shared" si="1"/>
        <v>Patch 81E0</v>
      </c>
      <c r="C25" s="68" t="s">
        <v>204</v>
      </c>
      <c r="D25" s="36"/>
      <c r="E25" s="36"/>
      <c r="F25" s="36"/>
      <c r="G25" s="36" t="str" cm="1">
        <f t="array" ref="G25">IntelHexChecksum(RIGHT(C25,40))</f>
        <v>E0</v>
      </c>
      <c r="H25" s="36"/>
      <c r="I25" s="36"/>
      <c r="J25" s="41"/>
      <c r="U25" t="s">
        <v>129</v>
      </c>
      <c r="V25" s="12">
        <f>HEX2DEC(Y15)</f>
        <v>93</v>
      </c>
      <c r="AN25" s="4">
        <f t="shared" si="2"/>
        <v>1943</v>
      </c>
      <c r="AO25">
        <v>20</v>
      </c>
      <c r="AP25" s="4" cm="1">
        <f t="array" ref="AP25">PQ2nits((2055+65*AO25)/(2055+31*65))</f>
        <v>1943.8833082164776</v>
      </c>
      <c r="AQ25" cm="1">
        <f t="array" ref="AQ25">ROUND(PQ2nits((20*$AO25)/(2055+31*65)),3)</f>
        <v>0.31</v>
      </c>
    </row>
    <row r="26" spans="2:54" x14ac:dyDescent="0.3">
      <c r="B26" s="67" t="str">
        <f t="shared" si="1"/>
        <v>Patch 81F0</v>
      </c>
      <c r="C26" s="68" t="s">
        <v>205</v>
      </c>
      <c r="D26" s="36"/>
      <c r="E26" s="36"/>
      <c r="F26" s="36"/>
      <c r="G26" s="36" t="str" cm="1">
        <f t="array" ref="G26">IntelHexChecksum(RIGHT(C26,40))</f>
        <v>54</v>
      </c>
      <c r="H26" s="36"/>
      <c r="I26" s="36"/>
      <c r="J26" s="41"/>
      <c r="U26" t="s">
        <v>130</v>
      </c>
      <c r="V26" t="str">
        <f>DEC2HEX(V25+12+6)</f>
        <v>6F</v>
      </c>
      <c r="AN26" s="4">
        <f t="shared" si="2"/>
        <v>2250</v>
      </c>
      <c r="AO26">
        <v>21</v>
      </c>
      <c r="AP26" s="4" cm="1">
        <f t="array" ref="AP26">PQ2nits((2055+65*AO26)/(2055+31*65))</f>
        <v>2250.9912958813088</v>
      </c>
      <c r="AQ26" cm="1">
        <f t="array" ref="AQ26">ROUND(PQ2nits((20*$AO26)/(2055+31*65)),3)</f>
        <v>0.35299999999999998</v>
      </c>
    </row>
    <row r="27" spans="2:54" x14ac:dyDescent="0.3">
      <c r="B27" s="67" t="str">
        <f t="shared" si="1"/>
        <v>Patch 8200</v>
      </c>
      <c r="C27" s="68" t="s">
        <v>206</v>
      </c>
      <c r="D27" s="36"/>
      <c r="E27" s="36"/>
      <c r="F27" s="36"/>
      <c r="G27" s="36" t="str" cm="1">
        <f t="array" ref="G27">IntelHexChecksum(RIGHT(C27,40))</f>
        <v>38</v>
      </c>
      <c r="H27" s="36"/>
      <c r="I27" s="36"/>
      <c r="J27" s="41"/>
      <c r="U27" t="s">
        <v>0</v>
      </c>
      <c r="V27" s="59" t="s">
        <v>124</v>
      </c>
      <c r="W27" s="59" t="s">
        <v>6</v>
      </c>
      <c r="X27" s="59">
        <v>46</v>
      </c>
      <c r="Y27" s="59" t="s">
        <v>131</v>
      </c>
      <c r="Z27" s="59" t="s">
        <v>7</v>
      </c>
      <c r="AA27" t="str">
        <f>$C$5</f>
        <v>49</v>
      </c>
      <c r="AB27" t="str">
        <f>$G$5</f>
        <v>03</v>
      </c>
      <c r="AC27" t="str">
        <f>$J$5</f>
        <v>50</v>
      </c>
      <c r="AD27" t="str">
        <f>$M$5</f>
        <v>A1</v>
      </c>
      <c r="AE27" t="str">
        <f>$O$5</f>
        <v>58</v>
      </c>
      <c r="AF27" t="str">
        <f>$Q$5</f>
        <v>55</v>
      </c>
      <c r="AG27" t="str">
        <f>$S$5</f>
        <v>A2</v>
      </c>
      <c r="AN27" s="4">
        <f t="shared" si="2"/>
        <v>2607</v>
      </c>
      <c r="AO27">
        <v>22</v>
      </c>
      <c r="AP27" s="4" cm="1">
        <f t="array" ref="AP27">PQ2nits((2055+65*AO27)/(2055+31*65))</f>
        <v>2607.2486693335695</v>
      </c>
      <c r="AQ27" cm="1">
        <f t="array" ref="AQ27">ROUND(PQ2nits((20*$AO27)/(2055+31*65)),3)</f>
        <v>0.39900000000000002</v>
      </c>
    </row>
    <row r="28" spans="2:54" x14ac:dyDescent="0.3">
      <c r="B28" s="67" t="str">
        <f t="shared" si="1"/>
        <v>Patch 8210</v>
      </c>
      <c r="C28" s="68" t="s">
        <v>207</v>
      </c>
      <c r="D28" s="36"/>
      <c r="E28" s="36"/>
      <c r="F28" s="36"/>
      <c r="G28" s="36" t="str" cm="1">
        <f t="array" ref="G28">IntelHexChecksum(RIGHT(C28,40))</f>
        <v>42</v>
      </c>
      <c r="H28" s="36"/>
      <c r="I28" s="36"/>
      <c r="J28" s="41"/>
      <c r="U28" t="s">
        <v>143</v>
      </c>
      <c r="V28" t="s">
        <v>144</v>
      </c>
      <c r="W28" s="70">
        <v>11</v>
      </c>
      <c r="X28" s="70">
        <v>46</v>
      </c>
      <c r="Y28" s="70" t="s">
        <v>131</v>
      </c>
      <c r="Z28" s="12" t="s">
        <v>7</v>
      </c>
      <c r="AA28" s="70">
        <v>70</v>
      </c>
      <c r="AB28" s="59" t="s">
        <v>7</v>
      </c>
      <c r="AN28" s="4">
        <f t="shared" si="2"/>
        <v>3020</v>
      </c>
      <c r="AO28">
        <v>23</v>
      </c>
      <c r="AP28" s="4" cm="1">
        <f t="array" ref="AP28">PQ2nits((2055+65*AO28)/(2055+31*65))</f>
        <v>3020.8227108925894</v>
      </c>
      <c r="AQ28" cm="1">
        <f t="array" ref="AQ28">ROUND(PQ2nits((20*$AO28)/(2055+31*65)),3)</f>
        <v>0.45</v>
      </c>
    </row>
    <row r="29" spans="2:54" x14ac:dyDescent="0.3">
      <c r="B29" s="67" t="str">
        <f t="shared" si="1"/>
        <v>Patch 8220</v>
      </c>
      <c r="C29" s="68" t="s">
        <v>208</v>
      </c>
      <c r="D29" s="36"/>
      <c r="E29" s="36"/>
      <c r="F29" s="36"/>
      <c r="G29" s="36" t="str" cm="1">
        <f t="array" ref="G29">IntelHexChecksum(RIGHT(C29,40))</f>
        <v>C2</v>
      </c>
      <c r="H29" s="36"/>
      <c r="I29" s="36"/>
      <c r="J29" s="41"/>
      <c r="U29" t="s">
        <v>145</v>
      </c>
      <c r="V29" t="s">
        <v>146</v>
      </c>
      <c r="W29" s="59" t="s">
        <v>6</v>
      </c>
      <c r="X29" s="59" t="s">
        <v>141</v>
      </c>
      <c r="Y29" s="59" t="s">
        <v>140</v>
      </c>
      <c r="Z29" s="59" t="s">
        <v>142</v>
      </c>
      <c r="AA29" s="59" t="s">
        <v>6</v>
      </c>
      <c r="AN29" s="4">
        <f t="shared" si="2"/>
        <v>3501</v>
      </c>
      <c r="AO29">
        <v>24</v>
      </c>
      <c r="AP29" s="4" cm="1">
        <f t="array" ref="AP29">PQ2nits((2055+65*AO29)/(2055+31*65))</f>
        <v>3501.3151049329572</v>
      </c>
      <c r="AQ29" cm="1">
        <f t="array" ref="AQ29">ROUND(PQ2nits((20*$AO29)/(2055+31*65)),3)</f>
        <v>0.50600000000000001</v>
      </c>
    </row>
    <row r="30" spans="2:54" ht="15" thickBot="1" x14ac:dyDescent="0.35">
      <c r="B30" s="72" t="str">
        <f t="shared" si="1"/>
        <v>Patch 8230</v>
      </c>
      <c r="C30" s="73" t="s">
        <v>209</v>
      </c>
      <c r="D30" s="44"/>
      <c r="E30" s="44"/>
      <c r="F30" s="44"/>
      <c r="G30" s="44" t="str" cm="1">
        <f t="array" ref="G30">IntelHexChecksum(RIGHT(C30,40))</f>
        <v>5B</v>
      </c>
      <c r="H30" s="44"/>
      <c r="I30" s="44"/>
      <c r="J30" s="45"/>
      <c r="AN30" s="4">
        <f t="shared" si="2"/>
        <v>4060</v>
      </c>
      <c r="AO30">
        <v>25</v>
      </c>
      <c r="AP30" s="4" cm="1">
        <f t="array" ref="AP30">PQ2nits((2055+65*AO30)/(2055+31*65))</f>
        <v>4060.0310484963115</v>
      </c>
      <c r="AQ30" cm="1">
        <f t="array" ref="AQ30">ROUND(PQ2nits((20*$AO30)/(2055+31*65)),3)</f>
        <v>0.56599999999999995</v>
      </c>
    </row>
    <row r="31" spans="2:54" x14ac:dyDescent="0.3">
      <c r="B31" s="1"/>
      <c r="C31" s="74"/>
      <c r="AN31" s="4">
        <f t="shared" si="2"/>
        <v>4710</v>
      </c>
      <c r="AO31">
        <v>26</v>
      </c>
      <c r="AP31" s="4" cm="1">
        <f t="array" ref="AP31">PQ2nits((2055+65*AO31)/(2055+31*65))</f>
        <v>4710.3025909539483</v>
      </c>
      <c r="AQ31" cm="1">
        <f t="array" ref="AQ31">ROUND(PQ2nits((20*$AO31)/(2055+31*65)),3)</f>
        <v>0.63100000000000001</v>
      </c>
    </row>
    <row r="32" spans="2:54" x14ac:dyDescent="0.3">
      <c r="B32" s="1"/>
      <c r="C32" s="74"/>
      <c r="AN32" s="4">
        <f t="shared" si="2"/>
        <v>5467</v>
      </c>
      <c r="AO32">
        <v>27</v>
      </c>
      <c r="AP32" s="4" cm="1">
        <f t="array" ref="AP32">PQ2nits((2055+65*AO32)/(2055+31*65))</f>
        <v>5467.8779662038578</v>
      </c>
      <c r="AQ32" cm="1">
        <f t="array" ref="AQ32">ROUND(PQ2nits((20*$AO32)/(2055+31*65)),3)</f>
        <v>0.70199999999999996</v>
      </c>
    </row>
    <row r="33" spans="2:55" x14ac:dyDescent="0.3">
      <c r="B33" s="1"/>
      <c r="C33" s="74"/>
      <c r="AN33" s="4">
        <f t="shared" si="2"/>
        <v>6351</v>
      </c>
      <c r="AO33">
        <v>28</v>
      </c>
      <c r="AP33" s="4" cm="1">
        <f t="array" ref="AP33">PQ2nits((2055+65*AO33)/(2055+31*65))</f>
        <v>6351.3914286654081</v>
      </c>
      <c r="AQ33" cm="1">
        <f t="array" ref="AQ33">ROUND(PQ2nits((20*$AO33)/(2055+31*65)),3)</f>
        <v>0.77900000000000003</v>
      </c>
    </row>
    <row r="34" spans="2:55" x14ac:dyDescent="0.3">
      <c r="B34" s="1"/>
      <c r="C34" s="74"/>
      <c r="AN34" s="4">
        <f t="shared" si="2"/>
        <v>7382</v>
      </c>
      <c r="AO34">
        <v>29</v>
      </c>
      <c r="AP34" s="4" cm="1">
        <f t="array" ref="AP34">PQ2nits((2055+65*AO34)/(2055+31*65))</f>
        <v>7382.9315427440533</v>
      </c>
      <c r="AQ34" cm="1">
        <f t="array" ref="AQ34">ROUND(PQ2nits((20*$AO34)/(2055+31*65)),3)</f>
        <v>0.86199999999999999</v>
      </c>
    </row>
    <row r="35" spans="2:55" x14ac:dyDescent="0.3">
      <c r="B35" s="1"/>
      <c r="C35" s="74"/>
      <c r="AN35" s="4">
        <f t="shared" si="2"/>
        <v>8588</v>
      </c>
      <c r="AO35">
        <v>30</v>
      </c>
      <c r="AP35" s="4" cm="1">
        <f t="array" ref="AP35">PQ2nits((2055+65*AO35)/(2055+31*65))</f>
        <v>8588.7301910478836</v>
      </c>
      <c r="AQ35" cm="1">
        <f t="array" ref="AQ35">ROUND(PQ2nits((20*$AO35)/(2055+31*65)),3)</f>
        <v>0.95099999999999996</v>
      </c>
    </row>
    <row r="36" spans="2:55" x14ac:dyDescent="0.3">
      <c r="B36" s="1"/>
      <c r="C36" s="74"/>
      <c r="AN36" s="4">
        <f t="shared" si="2"/>
        <v>10000</v>
      </c>
      <c r="AO36">
        <v>31</v>
      </c>
      <c r="AP36" s="4" cm="1">
        <f t="array" ref="AP36">PQ2nits((2055+65*AO36)/(2055+31*65))</f>
        <v>10000</v>
      </c>
      <c r="AQ36" cm="1">
        <f t="array" ref="AQ36">ROUND(PQ2nits((20*$AO36)/(2055+31*65)),3)</f>
        <v>1.048</v>
      </c>
    </row>
    <row r="37" spans="2:55" x14ac:dyDescent="0.3">
      <c r="B37" s="1"/>
      <c r="C37" s="74"/>
    </row>
    <row r="38" spans="2:55" x14ac:dyDescent="0.3">
      <c r="B38" s="1"/>
      <c r="C38" s="74"/>
    </row>
    <row r="39" spans="2:55" x14ac:dyDescent="0.3">
      <c r="B39" s="1"/>
      <c r="C39" s="74"/>
    </row>
    <row r="40" spans="2:55" x14ac:dyDescent="0.3"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</row>
    <row r="41" spans="2:55" x14ac:dyDescent="0.3"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</row>
    <row r="42" spans="2:55" x14ac:dyDescent="0.3"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59"/>
      <c r="AX42" s="59"/>
      <c r="AY42" s="59"/>
      <c r="AZ42" s="59"/>
      <c r="BA42" s="59"/>
      <c r="BB42" s="59"/>
      <c r="BC42" s="59"/>
    </row>
    <row r="43" spans="2:55" x14ac:dyDescent="0.3"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59"/>
      <c r="AX43" s="59"/>
      <c r="AY43" s="59"/>
      <c r="AZ43" s="59"/>
      <c r="BA43" s="59"/>
      <c r="BB43" s="59"/>
      <c r="BC43" s="59"/>
    </row>
    <row r="44" spans="2:55" x14ac:dyDescent="0.3"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59"/>
      <c r="AX44" s="59"/>
      <c r="AY44" s="59"/>
      <c r="AZ44" s="59"/>
      <c r="BA44" s="59"/>
      <c r="BB44" s="59"/>
      <c r="BC44" s="59"/>
    </row>
    <row r="45" spans="2:55" x14ac:dyDescent="0.3"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</row>
    <row r="46" spans="2:55" x14ac:dyDescent="0.3"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59"/>
      <c r="AX46" s="59"/>
      <c r="AY46" s="59"/>
      <c r="AZ46" s="59"/>
      <c r="BA46" s="59"/>
      <c r="BB46" s="59"/>
      <c r="BC46" s="59"/>
    </row>
    <row r="47" spans="2:55" x14ac:dyDescent="0.3"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59"/>
      <c r="AX47" s="59"/>
      <c r="AY47" s="59"/>
      <c r="AZ47" s="59"/>
      <c r="BA47" s="59"/>
      <c r="BB47" s="59"/>
      <c r="BC47" s="59"/>
    </row>
    <row r="48" spans="2:55" x14ac:dyDescent="0.3"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</row>
    <row r="49" spans="23:39" x14ac:dyDescent="0.3">
      <c r="W49" s="59"/>
      <c r="X49" s="59"/>
      <c r="Y49" s="59"/>
      <c r="Z49" s="59"/>
      <c r="AA49" s="59"/>
      <c r="AB49" s="59"/>
      <c r="AC49" s="59"/>
      <c r="AD49" s="59"/>
      <c r="AE49" s="59"/>
      <c r="AF49" s="59"/>
      <c r="AG49" s="59"/>
      <c r="AH49" s="59"/>
      <c r="AI49" s="59"/>
      <c r="AJ49" s="59"/>
      <c r="AK49" s="59"/>
      <c r="AL49" s="59"/>
      <c r="AM49" s="59"/>
    </row>
    <row r="50" spans="23:39" x14ac:dyDescent="0.3">
      <c r="W50" s="59"/>
      <c r="X50" s="59"/>
      <c r="Y50" s="59"/>
      <c r="Z50" s="59"/>
      <c r="AA50" s="59"/>
      <c r="AB50" s="59"/>
      <c r="AC50" s="59"/>
      <c r="AD50" s="59"/>
      <c r="AE50" s="59"/>
      <c r="AF50" s="59"/>
      <c r="AG50" s="59"/>
      <c r="AH50" s="59"/>
      <c r="AI50" s="59"/>
      <c r="AJ50" s="59"/>
      <c r="AK50" s="59"/>
      <c r="AL50" s="59"/>
      <c r="AM50" s="59"/>
    </row>
    <row r="51" spans="23:39" x14ac:dyDescent="0.3">
      <c r="W51" s="59"/>
      <c r="X51" s="59"/>
      <c r="Y51" s="59"/>
      <c r="Z51" s="59"/>
      <c r="AA51" s="59"/>
      <c r="AB51" s="59"/>
      <c r="AC51" s="59"/>
      <c r="AD51" s="59"/>
      <c r="AE51" s="59"/>
      <c r="AF51" s="59"/>
      <c r="AG51" s="59"/>
      <c r="AH51" s="59"/>
      <c r="AI51" s="59"/>
      <c r="AJ51" s="59"/>
      <c r="AK51" s="59"/>
      <c r="AL51" s="59"/>
      <c r="AM51" s="59"/>
    </row>
    <row r="52" spans="23:39" x14ac:dyDescent="0.3">
      <c r="W52" s="59"/>
      <c r="X52" s="59"/>
      <c r="Y52" s="59"/>
      <c r="Z52" s="59"/>
      <c r="AA52" s="59"/>
      <c r="AB52" s="59"/>
      <c r="AC52" s="59"/>
      <c r="AD52" s="59"/>
      <c r="AE52" s="59"/>
      <c r="AF52" s="59"/>
      <c r="AG52" s="59"/>
      <c r="AH52" s="59"/>
      <c r="AI52" s="59"/>
      <c r="AJ52" s="59"/>
      <c r="AK52" s="59"/>
      <c r="AL52" s="59"/>
      <c r="AM52" s="59"/>
    </row>
    <row r="53" spans="23:39" x14ac:dyDescent="0.3">
      <c r="W53" s="59"/>
      <c r="X53" s="59"/>
      <c r="Y53" s="59"/>
      <c r="Z53" s="59"/>
      <c r="AA53" s="59"/>
      <c r="AB53" s="59"/>
      <c r="AC53" s="59"/>
      <c r="AD53" s="59"/>
      <c r="AE53" s="59"/>
      <c r="AF53" s="59"/>
      <c r="AG53" s="59"/>
      <c r="AH53" s="59"/>
      <c r="AI53" s="59"/>
      <c r="AJ53" s="59"/>
      <c r="AK53" s="59"/>
      <c r="AL53" s="59"/>
      <c r="AM53" s="59"/>
    </row>
    <row r="54" spans="23:39" x14ac:dyDescent="0.3"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</row>
  </sheetData>
  <mergeCells count="7">
    <mergeCell ref="S5:T5"/>
    <mergeCell ref="C5:F5"/>
    <mergeCell ref="G5:I5"/>
    <mergeCell ref="J5:L5"/>
    <mergeCell ref="M5:N5"/>
    <mergeCell ref="O5:P5"/>
    <mergeCell ref="Q5:R5"/>
  </mergeCells>
  <conditionalFormatting sqref="P7">
    <cfRule type="expression" dxfId="4" priority="5">
      <formula>$N$7="Supported"</formula>
    </cfRule>
  </conditionalFormatting>
  <conditionalFormatting sqref="P7">
    <cfRule type="expression" dxfId="3" priority="4" stopIfTrue="1">
      <formula>IF(AND($N$7="Supported",$P$7="Supported"),TRUE,FALSE)</formula>
    </cfRule>
  </conditionalFormatting>
  <conditionalFormatting sqref="I7">
    <cfRule type="expression" dxfId="2" priority="3">
      <formula>$E$7="Not Supported"</formula>
    </cfRule>
  </conditionalFormatting>
  <conditionalFormatting sqref="N7">
    <cfRule type="expression" dxfId="1" priority="2">
      <formula>$P$7="Supported"</formula>
    </cfRule>
  </conditionalFormatting>
  <conditionalFormatting sqref="N7">
    <cfRule type="expression" dxfId="0" priority="1" stopIfTrue="1">
      <formula>IF(AND($N$7="Supported",$P$7="Supported"),TRUE,FALSE)</formula>
    </cfRule>
  </conditionalFormatting>
  <dataValidations count="6">
    <dataValidation type="list" allowBlank="1" showInputMessage="1" showErrorMessage="1" sqref="G7" xr:uid="{EFCDFF8E-1AD2-4693-9371-03C4EFEC0537}">
      <formula1>$AQ$5:$AQ$36</formula1>
    </dataValidation>
    <dataValidation type="list" allowBlank="1" showInputMessage="1" showErrorMessage="1" sqref="P7 E7:F7 H7 N7" xr:uid="{44AC3160-C6A6-40A7-B468-95290CC4D366}">
      <formula1>"Supported, Not Supported"</formula1>
    </dataValidation>
    <dataValidation type="list" allowBlank="1" showInputMessage="1" showErrorMessage="1" sqref="L7" xr:uid="{F25CBB2A-FCBB-4D3C-8905-8487F0252F81}">
      <formula1>$AU$5:$AU$8</formula1>
    </dataValidation>
    <dataValidation type="list" allowBlank="1" showInputMessage="1" showErrorMessage="1" sqref="I7" xr:uid="{AF30D05C-2410-459C-A6D1-9F5B8FE746DB}">
      <formula1>$AR$5:$AR$9</formula1>
    </dataValidation>
    <dataValidation type="list" allowBlank="1" showInputMessage="1" showErrorMessage="1" sqref="J7" xr:uid="{44534B4D-B654-4080-B71F-B4177159C9BA}">
      <formula1>$AN$5:$AN$36</formula1>
    </dataValidation>
    <dataValidation type="list" allowBlank="1" showInputMessage="1" showErrorMessage="1" sqref="I3" xr:uid="{4BB27D43-C17E-4575-ACA2-34CBD778353B}">
      <formula1>$AU$15:$AU$18</formula1>
    </dataValidation>
  </dataValidations>
  <hyperlinks>
    <hyperlink ref="V24" r:id="rId1" xr:uid="{51EFC76F-1421-4425-96C2-7527DA94A642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GetInputFile">
                <anchor moveWithCells="1" sizeWithCells="1">
                  <from>
                    <xdr:col>1</xdr:col>
                    <xdr:colOff>775411</xdr:colOff>
                    <xdr:row>9</xdr:row>
                    <xdr:rowOff>7315</xdr:rowOff>
                  </from>
                  <to>
                    <xdr:col>1</xdr:col>
                    <xdr:colOff>1031443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SetOutputFile">
                <anchor moveWithCells="1" sizeWithCells="1">
                  <from>
                    <xdr:col>1</xdr:col>
                    <xdr:colOff>775411</xdr:colOff>
                    <xdr:row>10</xdr:row>
                    <xdr:rowOff>0</xdr:rowOff>
                  </from>
                  <to>
                    <xdr:col>1</xdr:col>
                    <xdr:colOff>1031443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83cc05a-86fe-47c6-881d-daddf762ddd1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657D0E5434FC42A0BD978527585645" ma:contentTypeVersion="17" ma:contentTypeDescription="Create a new document." ma:contentTypeScope="" ma:versionID="63f8fed554de51d2a274da2bec00ee40">
  <xsd:schema xmlns:xsd="http://www.w3.org/2001/XMLSchema" xmlns:xs="http://www.w3.org/2001/XMLSchema" xmlns:p="http://schemas.microsoft.com/office/2006/metadata/properties" xmlns:ns3="5a0810bc-22dc-4d9c-a165-f56f142957d6" xmlns:ns4="983cc05a-86fe-47c6-881d-daddf762ddd1" targetNamespace="http://schemas.microsoft.com/office/2006/metadata/properties" ma:root="true" ma:fieldsID="52b66c5b254ab3571deed629f15139ae" ns3:_="" ns4:_="">
    <xsd:import namespace="5a0810bc-22dc-4d9c-a165-f56f142957d6"/>
    <xsd:import namespace="983cc05a-86fe-47c6-881d-daddf762ddd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AutoKeyPoints" minOccurs="0"/>
                <xsd:element ref="ns4:MediaServiceKeyPoints" minOccurs="0"/>
                <xsd:element ref="ns4:MediaLengthInSeconds" minOccurs="0"/>
                <xsd:element ref="ns4:MediaServiceGenerationTime" minOccurs="0"/>
                <xsd:element ref="ns4:MediaServiceEventHashCode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a0810bc-22dc-4d9c-a165-f56f142957d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3cc05a-86fe-47c6-881d-daddf762dd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B17A0D4-F90B-4E78-8C53-AAA6BD87B6BC}">
  <ds:schemaRefs>
    <ds:schemaRef ds:uri="http://www.w3.org/XML/1998/namespace"/>
    <ds:schemaRef ds:uri="983cc05a-86fe-47c6-881d-daddf762ddd1"/>
    <ds:schemaRef ds:uri="http://schemas.microsoft.com/office/2006/metadata/properties"/>
    <ds:schemaRef ds:uri="http://purl.org/dc/elements/1.1/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5a0810bc-22dc-4d9c-a165-f56f142957d6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50662562-7CE6-4B74-8846-6D0B4FE8525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1EF8452-5F11-4D30-AE47-99B295C9015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a0810bc-22dc-4d9c-a165-f56f142957d6"/>
    <ds:schemaRef ds:uri="983cc05a-86fe-47c6-881d-daddf762dd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Patcher</vt:lpstr>
      <vt:lpstr>Custom DV</vt:lpstr>
      <vt:lpstr>Custom EDID-EZCOO</vt:lpstr>
      <vt:lpstr>Original EDID-EZCOO</vt:lpstr>
      <vt:lpstr>HDR10Plus</vt:lpstr>
      <vt:lpstr>LS12000_Native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2024-08-03T18:59:29Z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0x01010010657D0E5434FC42A0BD978527585645</vt:lpwstr>
  </property>
</Properties>
</file>