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EX11HAS-PRO\"/>
    </mc:Choice>
  </mc:AlternateContent>
  <xr:revisionPtr revIDLastSave="0" documentId="13_ncr:1_{CCDB1580-6DB7-432C-A831-B3BD569E3D4B}" xr6:coauthVersionLast="47" xr6:coauthVersionMax="47" xr10:uidLastSave="{00000000-0000-0000-0000-000000000000}"/>
  <bookViews>
    <workbookView xWindow="3617" yWindow="3456" windowWidth="37579" windowHeight="12868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6" r:id="rId3"/>
    <sheet name="Original EDID-EZCOO" sheetId="7" state="hidden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6" l="1"/>
  <c r="C14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AA22" i="6" l="1"/>
  <c r="Z22" i="6"/>
  <c r="Y22" i="6"/>
  <c r="X22" i="6"/>
  <c r="W22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AL20" i="6"/>
  <c r="AK20" i="6"/>
  <c r="AJ20" i="6"/>
  <c r="V25" i="6"/>
  <c r="V26" i="6" s="1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19" i="7" a="1"/>
  <c r="G28" i="7" a="1"/>
  <c r="G22" i="7" a="1"/>
  <c r="G23" i="7" a="1"/>
  <c r="G26" i="7" a="1"/>
  <c r="G18" i="7" a="1"/>
  <c r="G21" i="7" a="1"/>
  <c r="G15" i="7" a="1"/>
  <c r="G27" i="7" a="1"/>
  <c r="G25" i="7" a="1"/>
  <c r="G30" i="7" a="1"/>
  <c r="G20" i="7" a="1"/>
  <c r="G16" i="7" a="1"/>
  <c r="G29" i="7" a="1"/>
  <c r="G24" i="7" a="1"/>
  <c r="G14" i="7" a="1"/>
  <c r="G17" i="7" a="1"/>
  <c r="Y15" i="6" l="1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G30" i="6" a="1"/>
  <c r="G30" i="6" l="1"/>
  <c r="T7" i="6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P11" i="7" a="1"/>
  <c r="AQ20" i="7" a="1"/>
  <c r="AQ33" i="7" a="1"/>
  <c r="AQ12" i="7" a="1"/>
  <c r="AP29" i="7" a="1"/>
  <c r="AQ22" i="7" a="1"/>
  <c r="AQ18" i="7" a="1"/>
  <c r="AQ14" i="7" a="1"/>
  <c r="AP13" i="7" a="1"/>
  <c r="AQ7" i="7" a="1"/>
  <c r="AP36" i="7" a="1"/>
  <c r="AP24" i="7" a="1"/>
  <c r="AQ29" i="7" a="1"/>
  <c r="AP17" i="7" a="1"/>
  <c r="AP34" i="7" a="1"/>
  <c r="AP28" i="7" a="1"/>
  <c r="AQ11" i="7" a="1"/>
  <c r="AQ27" i="7" a="1"/>
  <c r="AP27" i="7" a="1"/>
  <c r="AP16" i="7" a="1"/>
  <c r="AQ16" i="7" a="1"/>
  <c r="AQ23" i="7" a="1"/>
  <c r="AP31" i="7" a="1"/>
  <c r="AP18" i="7" a="1"/>
  <c r="AQ19" i="7" a="1"/>
  <c r="AQ15" i="7" a="1"/>
  <c r="AQ8" i="7" a="1"/>
  <c r="AP10" i="7" a="1"/>
  <c r="AQ31" i="7" a="1"/>
  <c r="AP19" i="7" a="1"/>
  <c r="AQ10" i="7" a="1"/>
  <c r="AP8" i="7" a="1"/>
  <c r="AQ28" i="7" a="1"/>
  <c r="AQ32" i="7" a="1"/>
  <c r="AQ26" i="7" a="1"/>
  <c r="AP9" i="7" a="1"/>
  <c r="AQ9" i="7" a="1"/>
  <c r="AP6" i="7" a="1"/>
  <c r="AP14" i="7" a="1"/>
  <c r="AQ13" i="7" a="1"/>
  <c r="AP5" i="7" a="1"/>
  <c r="AQ25" i="7" a="1"/>
  <c r="AQ36" i="7" a="1"/>
  <c r="AQ21" i="7" a="1"/>
  <c r="AQ30" i="7" a="1"/>
  <c r="AP12" i="7" a="1"/>
  <c r="AQ35" i="7" a="1"/>
  <c r="AQ34" i="7" a="1"/>
  <c r="AP32" i="7" a="1"/>
  <c r="AP30" i="7" a="1"/>
  <c r="AP25" i="7" a="1"/>
  <c r="AP23" i="7" a="1"/>
  <c r="AQ17" i="7" a="1"/>
  <c r="AP21" i="7" a="1"/>
  <c r="AQ6" i="7" a="1"/>
  <c r="AP15" i="7" a="1"/>
  <c r="AP26" i="7" a="1"/>
  <c r="AP22" i="7" a="1"/>
  <c r="AP33" i="7" a="1"/>
  <c r="AQ5" i="7" a="1"/>
  <c r="AP7" i="7" a="1"/>
  <c r="AP20" i="7" a="1"/>
  <c r="T8" i="6" l="1"/>
  <c r="AP11" i="7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S7" i="6"/>
  <c r="R7" i="6"/>
  <c r="Q7" i="6"/>
  <c r="O7" i="6"/>
  <c r="M7" i="6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10" i="5" a="1"/>
  <c r="AP10" i="5" a="1"/>
  <c r="AP25" i="5" a="1"/>
  <c r="AQ7" i="5" a="1"/>
  <c r="AQ26" i="6" a="1"/>
  <c r="AQ10" i="6" a="1"/>
  <c r="AQ16" i="6" a="1"/>
  <c r="AP8" i="5" a="1"/>
  <c r="AQ5" i="6" a="1"/>
  <c r="AP8" i="6" a="1"/>
  <c r="AP5" i="5" a="1"/>
  <c r="AP18" i="6" a="1"/>
  <c r="AP17" i="5" a="1"/>
  <c r="AQ28" i="5" a="1"/>
  <c r="AP13" i="5" a="1"/>
  <c r="AQ34" i="5" a="1"/>
  <c r="AP7" i="5" a="1"/>
  <c r="AQ21" i="5" a="1"/>
  <c r="AQ21" i="6" a="1"/>
  <c r="AP14" i="6" a="1"/>
  <c r="AP18" i="5" a="1"/>
  <c r="AP29" i="5" a="1"/>
  <c r="AQ22" i="6" a="1"/>
  <c r="AP29" i="6" a="1"/>
  <c r="AQ30" i="6" a="1"/>
  <c r="AQ11" i="6" a="1"/>
  <c r="AP34" i="5" a="1"/>
  <c r="AQ9" i="5" a="1"/>
  <c r="AP26" i="6" a="1"/>
  <c r="AQ8" i="5" a="1"/>
  <c r="AQ24" i="5" a="1"/>
  <c r="AQ12" i="5" a="1"/>
  <c r="AP27" i="5" a="1"/>
  <c r="AP28" i="6" a="1"/>
  <c r="AQ18" i="6" a="1"/>
  <c r="AQ7" i="6" a="1"/>
  <c r="AP34" i="6" a="1"/>
  <c r="AP17" i="6" a="1"/>
  <c r="AP35" i="5" a="1"/>
  <c r="AP24" i="5" a="1"/>
  <c r="AP23" i="6" a="1"/>
  <c r="AP12" i="5" a="1"/>
  <c r="AQ5" i="5" a="1"/>
  <c r="AQ34" i="6" a="1"/>
  <c r="AP31" i="5" a="1"/>
  <c r="AQ15" i="5" a="1"/>
  <c r="AP33" i="5" a="1"/>
  <c r="AP35" i="6" a="1"/>
  <c r="AP6" i="5" a="1"/>
  <c r="AP11" i="5" a="1"/>
  <c r="AQ17" i="5" a="1"/>
  <c r="AP32" i="5" a="1"/>
  <c r="AQ24" i="6" a="1"/>
  <c r="AP20" i="5" a="1"/>
  <c r="AQ6" i="5" a="1"/>
  <c r="AQ31" i="6" a="1"/>
  <c r="AQ13" i="5" a="1"/>
  <c r="AP19" i="5" a="1"/>
  <c r="AQ11" i="5" a="1"/>
  <c r="AP30" i="6" a="1"/>
  <c r="AP24" i="6" a="1"/>
  <c r="AQ9" i="6" a="1"/>
  <c r="AP5" i="6" a="1"/>
  <c r="AQ35" i="6" a="1"/>
  <c r="AP13" i="6" a="1"/>
  <c r="AQ15" i="6" a="1"/>
  <c r="AQ28" i="6" a="1"/>
  <c r="AQ14" i="6" a="1"/>
  <c r="AQ30" i="5" a="1"/>
  <c r="AQ18" i="5" a="1"/>
  <c r="AQ8" i="6" a="1"/>
  <c r="AP15" i="6" a="1"/>
  <c r="AQ22" i="5" a="1"/>
  <c r="AP15" i="5" a="1"/>
  <c r="AP14" i="5" a="1"/>
  <c r="AQ32" i="5" a="1"/>
  <c r="AP12" i="6" a="1"/>
  <c r="AP9" i="6" a="1"/>
  <c r="AP11" i="6" a="1"/>
  <c r="AQ32" i="6" a="1"/>
  <c r="AQ23" i="5" a="1"/>
  <c r="AQ35" i="5" a="1"/>
  <c r="AP22" i="6" a="1"/>
  <c r="AP9" i="5" a="1"/>
  <c r="AQ26" i="5" a="1"/>
  <c r="AQ13" i="6" a="1"/>
  <c r="AP16" i="6" a="1"/>
  <c r="AQ19" i="6" a="1"/>
  <c r="AP6" i="6" a="1"/>
  <c r="AQ12" i="6" a="1"/>
  <c r="AP30" i="5" a="1"/>
  <c r="AP27" i="6" a="1"/>
  <c r="AQ17" i="6" a="1"/>
  <c r="AP21" i="5" a="1"/>
  <c r="AQ33" i="5" a="1"/>
  <c r="AQ19" i="5" a="1"/>
  <c r="AP21" i="6" a="1"/>
  <c r="AQ25" i="6" a="1"/>
  <c r="AP10" i="6" a="1"/>
  <c r="AQ23" i="6" a="1"/>
  <c r="AP26" i="5" a="1"/>
  <c r="AP25" i="6" a="1"/>
  <c r="AP20" i="6" a="1"/>
  <c r="AQ31" i="5" a="1"/>
  <c r="AQ29" i="5" a="1"/>
  <c r="AQ25" i="5" a="1"/>
  <c r="AP19" i="6" a="1"/>
  <c r="AQ33" i="6" a="1"/>
  <c r="AQ20" i="5" a="1"/>
  <c r="AP22" i="5" a="1"/>
  <c r="AP16" i="5" a="1"/>
  <c r="AP36" i="6" a="1"/>
  <c r="AQ36" i="6" a="1"/>
  <c r="AP31" i="6" a="1"/>
  <c r="AP32" i="6" a="1"/>
  <c r="AP36" i="5" a="1"/>
  <c r="AQ27" i="6" a="1"/>
  <c r="AQ27" i="5" a="1"/>
  <c r="AQ14" i="5" a="1"/>
  <c r="AQ29" i="6" a="1"/>
  <c r="AP23" i="5" a="1"/>
  <c r="AQ20" i="6" a="1"/>
  <c r="AQ6" i="6" a="1"/>
  <c r="AP33" i="6" a="1"/>
  <c r="AQ16" i="5" a="1"/>
  <c r="AP7" i="6" a="1"/>
  <c r="AP28" i="5" a="1"/>
  <c r="AQ36" i="5" a="1"/>
  <c r="G29" i="6" a="1"/>
  <c r="G26" i="6" a="1"/>
  <c r="G25" i="6" a="1"/>
  <c r="G24" i="6" a="1"/>
  <c r="G23" i="6" a="1"/>
  <c r="G22" i="6" a="1"/>
  <c r="G21" i="6" a="1"/>
  <c r="G20" i="6" a="1"/>
  <c r="G19" i="6" a="1"/>
  <c r="G18" i="6" a="1"/>
  <c r="G17" i="6" a="1"/>
  <c r="G16" i="6" a="1"/>
  <c r="M8" i="6" l="1"/>
  <c r="M5" i="6" s="1"/>
  <c r="O8" i="6"/>
  <c r="O5" i="6" s="1"/>
  <c r="Q8" i="6"/>
  <c r="S8" i="6"/>
  <c r="S5" i="6" s="1"/>
  <c r="R8" i="6"/>
  <c r="C5" i="6"/>
  <c r="AP5" i="6"/>
  <c r="AN5" i="6" s="1"/>
  <c r="G19" i="6"/>
  <c r="G26" i="6"/>
  <c r="G16" i="6"/>
  <c r="G20" i="6"/>
  <c r="G17" i="6"/>
  <c r="G29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D20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Q5" i="6" l="1"/>
  <c r="AH20" i="6" s="1"/>
  <c r="AA27" i="6"/>
  <c r="AC20" i="6"/>
  <c r="AE27" i="6"/>
  <c r="AG20" i="6"/>
  <c r="AD27" i="6"/>
  <c r="AF20" i="6"/>
  <c r="AG27" i="6"/>
  <c r="AI20" i="6"/>
  <c r="AB27" i="6"/>
  <c r="J8" i="6"/>
  <c r="J5" i="6" s="1"/>
  <c r="AE20" i="6" s="1"/>
  <c r="L8" i="5"/>
  <c r="I8" i="5"/>
  <c r="H8" i="5"/>
  <c r="F8" i="5"/>
  <c r="E8" i="5"/>
  <c r="C5" i="5" s="1"/>
  <c r="S5" i="5"/>
  <c r="G5" i="5"/>
  <c r="AF27" i="6" l="1"/>
  <c r="AC27" i="6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G27" i="6" a="1"/>
  <c r="C13" i="6" a="1"/>
  <c r="C13" i="6" l="1"/>
  <c r="G27" i="6"/>
  <c r="J8" i="5"/>
  <c r="J5" i="5" s="1"/>
  <c r="C12" i="5" s="1"/>
  <c r="C13" i="5" a="1"/>
  <c r="C14" i="5"/>
  <c r="G28" i="6" a="1"/>
  <c r="G28" i="6" l="1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7" i="1"/>
  <c r="AF6" i="1" a="1"/>
  <c r="AE6" i="1" a="1"/>
  <c r="H6" i="1" a="1"/>
  <c r="U6" i="1" a="1"/>
  <c r="D4" i="1" a="1"/>
  <c r="C4" i="1" a="1"/>
  <c r="R4" i="1" a="1"/>
  <c r="G6" i="1" a="1"/>
  <c r="F4" i="1" a="1"/>
  <c r="N7" i="1"/>
  <c r="H4" i="1" a="1"/>
  <c r="L6" i="1" a="1"/>
  <c r="AD6" i="1" a="1"/>
  <c r="C6" i="1" a="1"/>
  <c r="D7" i="1"/>
  <c r="Q6" i="1" a="1"/>
  <c r="X6" i="1" a="1"/>
  <c r="J6" i="1" a="1"/>
  <c r="T6" i="1" a="1"/>
  <c r="N6" i="1" a="1"/>
  <c r="O6" i="1" a="1"/>
  <c r="AH6" i="1" a="1"/>
  <c r="N4" i="1" a="1"/>
  <c r="V7" i="1"/>
  <c r="Y6" i="1" a="1"/>
  <c r="F7" i="1"/>
  <c r="Z4" i="1" a="1"/>
  <c r="R6" i="1" a="1"/>
  <c r="M6" i="1" a="1"/>
  <c r="AG6" i="1" a="1"/>
  <c r="V6" i="1" a="1"/>
  <c r="AA6" i="1" a="1"/>
  <c r="H7" i="1"/>
  <c r="S6" i="1" a="1"/>
  <c r="W6" i="1" a="1"/>
  <c r="P6" i="1" a="1"/>
  <c r="G4" i="1" a="1"/>
  <c r="G7" i="1"/>
  <c r="K6" i="1" a="1"/>
  <c r="C7" i="1"/>
  <c r="V4" i="1" a="1"/>
  <c r="F6" i="1" a="1"/>
  <c r="J7" i="1"/>
  <c r="AB6" i="1" a="1"/>
  <c r="Z6" i="1" a="1"/>
  <c r="D6" i="1" a="1"/>
  <c r="E6" i="1" a="1"/>
  <c r="I6" i="1" a="1"/>
  <c r="AC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I7" i="1"/>
  <c r="AG7" i="1"/>
  <c r="Q4" i="1" a="1"/>
  <c r="L4" i="1" a="1"/>
  <c r="L7" i="1"/>
  <c r="Q7" i="1"/>
  <c r="K4" i="1" a="1"/>
  <c r="AD7" i="1"/>
  <c r="AB4" i="1" a="1"/>
  <c r="AH7" i="1"/>
  <c r="E4" i="1" a="1"/>
  <c r="AA7" i="1"/>
  <c r="AG4" i="1" a="1"/>
  <c r="S4" i="1" a="1"/>
  <c r="M4" i="1" a="1"/>
  <c r="O7" i="1"/>
  <c r="AB7" i="1"/>
  <c r="M7" i="1"/>
  <c r="W4" i="1" a="1"/>
  <c r="Z7" i="1"/>
  <c r="K7" i="1"/>
  <c r="X4" i="1" a="1"/>
  <c r="AC4" i="1" a="1"/>
  <c r="AF4" i="1" a="1"/>
  <c r="R7" i="1"/>
  <c r="AH4" i="1" a="1"/>
  <c r="J4" i="1" a="1"/>
  <c r="I4" i="1" a="1"/>
  <c r="W7" i="1"/>
  <c r="AE4" i="1" a="1"/>
  <c r="AA4" i="1" a="1"/>
  <c r="P7" i="1"/>
  <c r="O4" i="1" a="1"/>
  <c r="Y4" i="1" a="1"/>
  <c r="S7" i="1"/>
  <c r="Y7" i="1"/>
  <c r="U7" i="1"/>
  <c r="AF7" i="1"/>
  <c r="T7" i="1"/>
  <c r="AC7" i="1"/>
  <c r="T4" i="1" a="1"/>
  <c r="X7" i="1"/>
  <c r="AD4" i="1" a="1"/>
  <c r="P4" i="1" a="1"/>
  <c r="AE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G15" i="6" a="1"/>
  <c r="G15" i="6" l="1"/>
  <c r="G14" i="6" a="1"/>
  <c r="G1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<sst xmlns="http://schemas.openxmlformats.org/spreadsheetml/2006/main" count="825" uniqueCount="268">
  <si>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</si>
  <si>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</si>
  <si>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</si>
  <si>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</si>
  <si>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</si>
  <si>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</si>
  <si>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</si>
  <si>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</si>
  <si>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</si>
  <si>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</si>
  <si>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</si>
  <si>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</si>
  <si>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</si>
  <si>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</si>
  <si>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</si>
  <si>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</si>
  <si>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</si>
  <si>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</si>
  <si>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</si>
  <si>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</si>
  <si>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</si>
  <si>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</si>
  <si>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</si>
  <si>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</si>
  <si>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</si>
  <si>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</si>
  <si>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</si>
  <si>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</si>
  <si>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</si>
  <si>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</si>
  <si>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</si>
  <si>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</si>
  <si>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</si>
  <si>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</si>
  <si>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</si>
  <si>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</si>
  <si>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</si>
  <si>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</si>
  <si>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</si>
  <si>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</si>
  <si>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</si>
  <si>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</si>
  <si>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</si>
  <si>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</si>
  <si>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</si>
  <si>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</si>
  <si>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</si>
  <si>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</si>
  <si>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</si>
  <si>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</si>
  <si>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</si>
  <si>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</si>
  <si>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</si>
  <si>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</si>
  <si>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</si>
  <si>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</si>
  <si>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</si>
  <si>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</si>
  <si>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</si>
  <si>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</si>
  <si>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</si>
  <si>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</si>
  <si>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</si>
  <si>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</si>
  <si>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</si>
  <si>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</si>
  <si>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</si>
  <si>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</si>
  <si>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</si>
  <si>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</si>
  <si>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</si>
  <si>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</si>
  <si>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</si>
  <si>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</si>
  <si>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</si>
  <si>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</si>
  <si>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</si>
  <si>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</si>
  <si>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</si>
  <si>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</si>
  <si>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</si>
  <si>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</si>
  <si>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</si>
  <si>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</si>
  <si>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</si>
  <si>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</si>
  <si>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</si>
  <si>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</si>
  <si>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</si>
  <si>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</si>
  <si>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</si>
  <si>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</si>
  <si>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</si>
  <si>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</si>
  <si>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</si>
  <si>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</si>
  <si>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</si>
  <si>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</si>
  <si>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</si>
  <si>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</si>
  <si>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</si>
  <si>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</si>
  <si>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</si>
  <si>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</si>
  <si>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</si>
  <si>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</si>
  <si>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</si>
  <si>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</si>
  <si>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</si>
  <si>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</si>
  <si>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</si>
  <si>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</si>
  <si>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</si>
  <si>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</si>
  <si>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</si>
  <si>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</si>
  <si>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</si>
  <si>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</si>
  <si>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</si>
  <si>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</si>
  <si>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</si>
  <si>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</si>
  <si>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</si>
  <si>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</si>
  <si>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</si>
  <si>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</si>
  <si>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</si>
  <si>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</si>
  <si>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</si>
  <si>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</si>
  <si>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</si>
  <si>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</si>
  <si>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</si>
  <si>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</si>
  <si>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</si>
  <si>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</si>
  <si>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</si>
  <si>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</si>
  <si>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</si>
  <si>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</si>
  <si>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</si>
  <si>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</si>
  <si>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</si>
  <si>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</si>
  <si>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</si>
  <si>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</si>
  <si>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</si>
  <si>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</si>
  <si>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</si>
  <si>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</si>
  <si>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</si>
  <si>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</si>
  <si>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</si>
  <si>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</si>
  <si>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</si>
  <si>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</si>
  <si>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</si>
  <si>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</si>
  <si>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</si>
  <si>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</si>
  <si>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</si>
  <si>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</si>
  <si>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</si>
  <si>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</si>
  <si>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</si>
  <si>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</si>
  <si>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5D</t>
  </si>
  <si>
    <t>C4</t>
  </si>
  <si>
    <t>EB</t>
  </si>
  <si>
    <t>8C</t>
  </si>
  <si>
    <t>E0</t>
  </si>
  <si>
    <t>3E</t>
  </si>
  <si>
    <t>8E</t>
  </si>
  <si>
    <t>84</t>
  </si>
  <si>
    <t>8b</t>
  </si>
  <si>
    <t>E4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</si>
  <si>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</si>
  <si>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</si>
  <si>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</si>
  <si>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</si>
  <si>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</si>
  <si>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</si>
  <si>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</si>
  <si>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</si>
  <si>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</si>
  <si>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</si>
  <si>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</si>
  <si>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</si>
  <si>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</si>
  <si>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</si>
  <si>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</si>
  <si>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</si>
  <si>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</si>
  <si>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</si>
  <si>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</si>
  <si>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</si>
  <si>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</si>
  <si>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</si>
  <si>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</si>
  <si>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</si>
  <si>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</si>
  <si>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</si>
  <si>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</si>
  <si>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</si>
  <si>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</si>
  <si>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</si>
  <si>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</si>
  <si>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</si>
  <si>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</si>
  <si>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</si>
  <si>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</si>
  <si>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</si>
  <si>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</si>
  <si>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</si>
  <si>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</si>
  <si>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</si>
  <si>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</si>
  <si>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</si>
  <si>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</si>
  <si>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</si>
  <si>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</si>
  <si>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</si>
  <si>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</si>
  <si>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</si>
  <si>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</si>
  <si>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</si>
  <si>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</si>
  <si>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</si>
  <si>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</si>
  <si>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</si>
  <si>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</si>
  <si>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</si>
  <si>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</si>
  <si>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</si>
  <si>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</si>
  <si>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</si>
  <si>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</si>
  <si>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</si>
  <si>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</si>
  <si>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</si>
  <si>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</si>
  <si>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</si>
  <si>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</si>
  <si>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</si>
  <si>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</si>
  <si>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</si>
  <si>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</si>
  <si>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</si>
  <si>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</si>
  <si>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</si>
  <si>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</si>
  <si>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C:\exes\ez_dv_edid_fw\EX11HAS-PRO\Epson LS12000\ezcoo_ex11has-pro_CS-LS12000 Native_ML-385_hdr10+.hex</t>
  </si>
  <si>
    <t>Patch 8140</t>
  </si>
  <si>
    <t>Patch 8150</t>
  </si>
  <si>
    <t>Patch 8160</t>
  </si>
  <si>
    <t>Patch 8170</t>
  </si>
  <si>
    <t>Patch 8180</t>
  </si>
  <si>
    <t>Patch 8190</t>
  </si>
  <si>
    <t>Patch 81A0</t>
  </si>
  <si>
    <t>Patch 81B0</t>
  </si>
  <si>
    <t>Patch 81C0</t>
  </si>
  <si>
    <t>Patch 81D0</t>
  </si>
  <si>
    <t>Patch 81E0</t>
  </si>
  <si>
    <t>Patch 81F0</t>
  </si>
  <si>
    <t>Patch 8200</t>
  </si>
  <si>
    <t>Patch 8220</t>
  </si>
  <si>
    <t>Patch 8230</t>
  </si>
  <si>
    <t>Patch 8130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</si>
</sst>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0" fillId="2" borderId="35" xfId="0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EDC72209-BF5A-4BF3-AACB-B04FB12FC5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FD889D-6051-4B94-802F-1B31189F2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C5972F-E9D1-42B8-8C55-B5A3777C02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7A13ECC6-628B-4F40-9F06-B5E72EBE1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529B05-4906-4427-AAF8-5DD9BA7CC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3E22A2-8876-4B8A-9EC5-E46C632699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EA4A35-9803-4278-802C-3FE73EFA76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DDD5B9-0921-4B38-8FC7-94DA047C3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A8E5F4B0-3555-4DF3-BC4D-AEE0720A1D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3BD8D2-270D-468B-89BF-02376C163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CF41C11F-CB13-495B-98CA-6C2019FF93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31ED0793-EA80-4632-8FA3-FC86077124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2E846F22-A5BD-450C-BB15-78D0CCD02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B827D6-5CA5-4E47-9925-F7F44329E1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0E45D-D6DE-465E-A74F-3FA0F70CD0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3FB062E3-F3F7-4FAF-BF4C-94FBB11D2A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497DD8-7CF8-4285-A03F-2E29B30A9C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205562-404A-4BAA-9008-7305A969D0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963628-9584-4B7D-90C0-3751E8F702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5D73C0-9F8D-4135-A1F8-33E603B6F6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632AE86C-4995-424F-B9F8-A36BFD6DC6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A9EF85-5CD4-430C-8FF5-4C1C78255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69CDC48E-974E-4656-AD2D-96FA3C8154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B01618E8-674F-42CD-BDA8-ED1D22E8E6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45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C31" sqref="C3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J3" s="32" t="s">
        <v>245</v>
      </c>
      <c r="K3" s="77" t="s">
        <v>247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57</v>
      </c>
      <c r="N5" s="80"/>
      <c r="O5" s="79" t="str">
        <f>BIN2HEX(_xlfn.CONCAT(O8,P8),2)</f>
        <v>98</v>
      </c>
      <c r="P5" s="80"/>
      <c r="Q5" s="79" t="str">
        <f>BIN2HEX(_xlfn.CONCAT(Q8,R8),2)</f>
        <v>A9</v>
      </c>
      <c r="R5" s="80"/>
      <c r="S5" s="79" t="str">
        <f>BIN2HEX(_xlfn.CONCAT(S8,T8),2)</f>
        <v>53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0.17</v>
      </c>
      <c r="N7" s="33" t="s">
        <v>18</v>
      </c>
      <c r="O7" s="22">
        <f>INDEX(AY15:AY18,MATCH($I$3,$AU$15:$AU$18,0))</f>
        <v>0.79700000000000004</v>
      </c>
      <c r="P7" s="33" t="s">
        <v>19</v>
      </c>
      <c r="Q7" s="22">
        <f>INDEX(AV15:AV18,MATCH($I$3,$AU$15:$AU$18,0))</f>
        <v>0.70799999999999996</v>
      </c>
      <c r="R7" s="23">
        <f>INDEX(AZ15:AZ18,MATCH($I$3,$AU$15:$AU$18,0))</f>
        <v>0.13100000000000001</v>
      </c>
      <c r="S7" s="9">
        <f>INDEX(AW15:AW18,MATCH($I$3,$AU$15:$AU$18,0))</f>
        <v>0.29199999999999998</v>
      </c>
      <c r="T7" s="23">
        <f>INDEX(BA15:BA18,MATCH($I$3,$AU$15:$AU$18,0))</f>
        <v>4.5999999999999999E-2</v>
      </c>
      <c r="V7" s="59"/>
      <c r="W7" s="59" t="s">
        <v>7</v>
      </c>
      <c r="X7" s="59" t="s">
        <v>132</v>
      </c>
      <c r="Y7" s="59" t="s">
        <v>132</v>
      </c>
      <c r="Z7" s="59" t="s">
        <v>132</v>
      </c>
      <c r="AA7" s="59" t="s">
        <v>132</v>
      </c>
      <c r="AB7" s="59" t="s">
        <v>132</v>
      </c>
      <c r="AC7" s="59" t="s">
        <v>132</v>
      </c>
      <c r="AD7" s="59" t="s">
        <v>7</v>
      </c>
      <c r="AE7" s="59" t="s">
        <v>75</v>
      </c>
      <c r="AF7" s="59" t="s">
        <v>133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0" t="str">
        <f>DEC2BIN($M$7*256,7)</f>
        <v>0101011</v>
      </c>
      <c r="N8" s="18">
        <f>IF(AND(EXACT(N7,"Supported"),EXACT(P7,"Not Supported")),1,0)</f>
        <v>1</v>
      </c>
      <c r="O8" s="26" t="str">
        <f>DEC2BIN(($O$7-0.5)*256,7)</f>
        <v>1001100</v>
      </c>
      <c r="P8" s="78">
        <f>IF(AND(EXACT(P7,"Supported"),EXACT(N7,"Not Supported")),1,0)</f>
        <v>0</v>
      </c>
      <c r="Q8" s="26" t="str">
        <f>DEC2BIN(($Q$7-0.625)*256,5)</f>
        <v>10101</v>
      </c>
      <c r="R8" s="78" t="str">
        <f>DEC2BIN(($R$7-0.125)*256,3)</f>
        <v>001</v>
      </c>
      <c r="S8" s="26" t="str">
        <f>DEC2BIN(($S$7-0.25)*256,5)</f>
        <v>01010</v>
      </c>
      <c r="T8" s="18" t="str">
        <f>DEC2BIN(($T$7-0.03125)*256,3)</f>
        <v>011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134</v>
      </c>
      <c r="AF8" s="59" t="s">
        <v>135</v>
      </c>
      <c r="AG8" s="59" t="s">
        <v>83</v>
      </c>
      <c r="AH8" s="59" t="s">
        <v>133</v>
      </c>
      <c r="AI8" s="59" t="s">
        <v>84</v>
      </c>
      <c r="AJ8" s="59" t="s">
        <v>136</v>
      </c>
      <c r="AK8" s="59" t="s">
        <v>137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136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138</v>
      </c>
      <c r="AE10" s="59" t="s">
        <v>7</v>
      </c>
      <c r="AF10" s="59" t="s">
        <v>95</v>
      </c>
      <c r="AG10" s="59" t="s">
        <v>139</v>
      </c>
      <c r="AH10" s="59" t="s">
        <v>96</v>
      </c>
      <c r="AI10" s="59" t="s">
        <v>140</v>
      </c>
      <c r="AJ10" s="59" t="s">
        <v>79</v>
      </c>
      <c r="AK10" s="59" t="s">
        <v>137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251</v>
      </c>
      <c r="J11" s="40"/>
      <c r="V11" s="59"/>
      <c r="W11" s="59" t="s">
        <v>141</v>
      </c>
      <c r="X11" s="59" t="s">
        <v>7</v>
      </c>
      <c r="Y11" s="59" t="s">
        <v>98</v>
      </c>
      <c r="Z11" s="59" t="s">
        <v>142</v>
      </c>
      <c r="AA11" s="59" t="s">
        <v>83</v>
      </c>
      <c r="AB11" s="59" t="s">
        <v>7</v>
      </c>
      <c r="AC11" s="59" t="s">
        <v>7</v>
      </c>
      <c r="AD11" s="59" t="s">
        <v>143</v>
      </c>
      <c r="AE11" s="59" t="s">
        <v>99</v>
      </c>
      <c r="AF11" s="59" t="s">
        <v>144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145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EB0146D0004903485798A953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146</v>
      </c>
      <c r="Y12" s="59" t="s">
        <v>91</v>
      </c>
      <c r="Z12" s="59" t="s">
        <v>7</v>
      </c>
      <c r="AA12" s="59" t="s">
        <v>98</v>
      </c>
      <c r="AB12" s="59" t="s">
        <v>142</v>
      </c>
      <c r="AC12" s="59" t="s">
        <v>83</v>
      </c>
      <c r="AD12" s="59" t="s">
        <v>7</v>
      </c>
      <c r="AE12" s="59" t="s">
        <v>7</v>
      </c>
      <c r="AF12" s="59" t="s">
        <v>143</v>
      </c>
      <c r="AG12" s="59" t="s">
        <v>7</v>
      </c>
      <c r="AH12" s="59" t="s">
        <v>7</v>
      </c>
      <c r="AI12" s="59" t="s">
        <v>7</v>
      </c>
      <c r="AJ12" s="59" t="s">
        <v>147</v>
      </c>
      <c r="AK12" s="59" t="s">
        <v>7</v>
      </c>
      <c r="AL12" s="59" t="s">
        <v>148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145</v>
      </c>
      <c r="Z13" s="59" t="s">
        <v>149</v>
      </c>
      <c r="AA13" s="59" t="s">
        <v>145</v>
      </c>
      <c r="AB13" s="59" t="s">
        <v>104</v>
      </c>
      <c r="AC13" s="59" t="s">
        <v>145</v>
      </c>
      <c r="AD13" s="59" t="s">
        <v>87</v>
      </c>
      <c r="AE13" s="59" t="s">
        <v>134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150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">
        <v>267</v>
      </c>
      <c r="C14" s="68" t="str">
        <f>_xlfn.CONCAT(":10",RIGHT(B14,4),"00","468F3300501D7400001E00000086",W7:X7)</f>
        <v>:10813000468F3300501D7400001E0000008600FF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151</v>
      </c>
      <c r="Z14" s="59" t="s">
        <v>152</v>
      </c>
      <c r="AA14" s="59" t="s">
        <v>106</v>
      </c>
      <c r="AB14" s="59" t="s">
        <v>153</v>
      </c>
      <c r="AC14" s="59" t="s">
        <v>7</v>
      </c>
      <c r="AD14" s="59" t="s">
        <v>134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">
        <v>252</v>
      </c>
      <c r="C15" s="68" t="str">
        <f>_xlfn.CONCAT(":10",RIGHT(B15,4),"00",Y7:AL7,W8:X8)</f>
        <v>:10814000FFFFFFFFFF0034A30100010000000419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2" t="str">
        <f>V26</f>
        <v>63</v>
      </c>
      <c r="Z15" s="59" t="s">
        <v>139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">
        <v>253</v>
      </c>
      <c r="C16" s="68" t="str">
        <f>_xlfn.CONCAT(":10",RIGHT(B16,4),"00",Y8:AL8,W9:X9)</f>
        <v>:108150000103807341780ACF74A3574CB0230948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154</v>
      </c>
      <c r="AA16" s="59" t="s">
        <v>105</v>
      </c>
      <c r="AB16" s="59" t="s">
        <v>118</v>
      </c>
      <c r="AC16" s="59" t="s">
        <v>155</v>
      </c>
      <c r="AD16" s="59" t="s">
        <v>92</v>
      </c>
      <c r="AE16" s="59" t="s">
        <v>119</v>
      </c>
      <c r="AF16" s="59" t="s">
        <v>152</v>
      </c>
      <c r="AG16" s="59" t="s">
        <v>156</v>
      </c>
      <c r="AH16" s="59" t="s">
        <v>113</v>
      </c>
      <c r="AI16" s="59" t="s">
        <v>157</v>
      </c>
      <c r="AJ16" s="59" t="s">
        <v>143</v>
      </c>
      <c r="AK16" s="59" t="s">
        <v>98</v>
      </c>
      <c r="AL16" s="59" t="s">
        <v>120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">
        <v>254</v>
      </c>
      <c r="C17" s="68" t="str">
        <f>_xlfn.CONCAT(":10",RIGHT(B17,4),"00",Y9:AL9,W10:X10)</f>
        <v>:108160004C210800818045406140950001010101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158</v>
      </c>
      <c r="Z17" s="59" t="s">
        <v>159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159</v>
      </c>
      <c r="AG17" s="59" t="s">
        <v>78</v>
      </c>
      <c r="AH17" s="59" t="s">
        <v>122</v>
      </c>
      <c r="AI17" s="59" t="s">
        <v>158</v>
      </c>
      <c r="AJ17" s="59" t="s">
        <v>7</v>
      </c>
      <c r="AK17" s="59" t="s">
        <v>7</v>
      </c>
      <c r="AL17" s="59" t="s">
        <v>160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">
        <v>255</v>
      </c>
      <c r="C18" s="68" t="str">
        <f>_xlfn.CONCAT(":10",RIGHT(B18,4),"00",Y10:AL10,W11:X11)</f>
        <v>:108170000101010108E80030F2705A80B0588A00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161</v>
      </c>
      <c r="Y18" s="59" t="s">
        <v>7</v>
      </c>
      <c r="Z18" s="59" t="s">
        <v>162</v>
      </c>
      <c r="AA18" s="59" t="s">
        <v>78</v>
      </c>
      <c r="AB18" s="59" t="s">
        <v>163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153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">
        <v>256</v>
      </c>
      <c r="C19" s="68" t="str">
        <f>_xlfn.CONCAT(":10",RIGHT(B19,4),"00",Y11:AL11,W12:X12)</f>
        <v>:10818000501D7400001E023A801871382D40582C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164</v>
      </c>
      <c r="Z19" s="59" t="s">
        <v>152</v>
      </c>
      <c r="AA19" s="59" t="s">
        <v>152</v>
      </c>
      <c r="AB19" s="59" t="s">
        <v>121</v>
      </c>
      <c r="AC19" s="59" t="s">
        <v>165</v>
      </c>
      <c r="AD19" s="59" t="s">
        <v>166</v>
      </c>
      <c r="AE19" s="59" t="s">
        <v>167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160</v>
      </c>
      <c r="AK19" s="59" t="s">
        <v>123</v>
      </c>
      <c r="AL19" s="59" t="s">
        <v>112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">
        <v>257</v>
      </c>
      <c r="C20" s="68" t="str">
        <f>_xlfn.CONCAT(":10",RIGHT(B20,4),"00",Y12:AL12,W13:X13)</f>
        <v>:108190004500501D7400001E000000FC004D4543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69" t="s">
        <v>168</v>
      </c>
      <c r="Y20" s="69" t="s">
        <v>6</v>
      </c>
      <c r="Z20" s="69" t="s">
        <v>125</v>
      </c>
      <c r="AA20" s="69" t="s">
        <v>131</v>
      </c>
      <c r="AB20" s="69" t="s">
        <v>7</v>
      </c>
      <c r="AC20" s="62" t="str">
        <f>C5</f>
        <v>49</v>
      </c>
      <c r="AD20" s="62" t="str">
        <f>G5</f>
        <v>03</v>
      </c>
      <c r="AE20" s="62" t="str">
        <f>J5</f>
        <v>48</v>
      </c>
      <c r="AF20" s="62" t="str">
        <f>M5</f>
        <v>57</v>
      </c>
      <c r="AG20" s="62" t="str">
        <f>O5</f>
        <v>98</v>
      </c>
      <c r="AH20" s="62" t="str">
        <f>Q5</f>
        <v>A9</v>
      </c>
      <c r="AI20" s="62" t="str">
        <f>S5</f>
        <v>53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">
        <v>258</v>
      </c>
      <c r="C21" s="68" t="str">
        <f>_xlfn.CONCAT(":10",RIGHT(B21,4),"00",Y13:AL13,W14:X14)</f>
        <v>:1081A0002D4F2D332D480A202020000000FD0018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2">IF(HDR10Plus="Y",V30,AB30)</f>
        <v>8C</v>
      </c>
      <c r="AA21" t="str">
        <f t="shared" si="2"/>
        <v>0A</v>
      </c>
      <c r="AB21" t="str">
        <f t="shared" si="2"/>
        <v>D0</v>
      </c>
      <c r="AC21" t="str">
        <f t="shared" si="2"/>
        <v>8A</v>
      </c>
      <c r="AD21" t="str">
        <f t="shared" si="2"/>
        <v>20</v>
      </c>
      <c r="AE21" t="str">
        <f t="shared" si="2"/>
        <v>E0</v>
      </c>
      <c r="AF21" t="str">
        <f t="shared" si="2"/>
        <v>2D</v>
      </c>
      <c r="AG21" t="str">
        <f t="shared" si="2"/>
        <v>10</v>
      </c>
      <c r="AH21" t="str">
        <f t="shared" si="2"/>
        <v>10</v>
      </c>
      <c r="AI21" t="str">
        <f t="shared" si="2"/>
        <v>3E</v>
      </c>
      <c r="AJ21" t="str">
        <f t="shared" si="2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">
        <v>259</v>
      </c>
      <c r="C22" s="68" t="str">
        <f>_xlfn.CONCAT(":10",RIGHT(B22,4),"00",Y14:AL14,W15:X15)</f>
        <v>:1081B0004B0F873C000A20202020202001480203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246</v>
      </c>
    </row>
    <row r="23" spans="2:54" x14ac:dyDescent="0.3">
      <c r="B23" s="67" t="s">
        <v>260</v>
      </c>
      <c r="C23" s="68" t="str">
        <f>_xlfn.CONCAT(":10",RIGHT(B23,4),"00",Y15:AL15,W16:X16)</f>
        <v>:1081C00063F25361606566010304050710121314</v>
      </c>
      <c r="D23" s="36"/>
      <c r="E23" s="36"/>
      <c r="F23" s="36"/>
      <c r="G23" s="36" t="str" cm="1">
        <f t="array" ref="G23">IntelHexChecksum(RIGHT(C23,40))</f>
        <v>1E</v>
      </c>
      <c r="H23" s="36"/>
      <c r="I23" s="36"/>
      <c r="J23" s="41"/>
      <c r="V23" s="59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247</v>
      </c>
    </row>
    <row r="24" spans="2:54" x14ac:dyDescent="0.3">
      <c r="B24" s="67" t="s">
        <v>261</v>
      </c>
      <c r="C24" s="68" t="str">
        <f>_xlfn.CONCAT(":10",RIGHT(B24,4),"00",Y16:AL16,W17:X17)</f>
        <v>:1081D000161F20223F40320F7F073D1E50150750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248</v>
      </c>
    </row>
    <row r="25" spans="2:54" x14ac:dyDescent="0.3">
      <c r="B25" s="67" t="s">
        <v>262</v>
      </c>
      <c r="C25" s="68" t="str">
        <f>_xlfn.CONCAT(":10",RIGHT(B25,4),"00",Y17:AL17,W18:X18)</f>
        <v>:1081E0005F7E01570701677E03835F0000E305C0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">
        <v>263</v>
      </c>
      <c r="C26" s="68" t="str">
        <f>_xlfn.CONCAT(":10",RIGHT(B26,4),"00",Y18:AL18,W19:X19)</f>
        <v>:1081F000006E030C001000383C20808001020304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250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">
        <v>264</v>
      </c>
      <c r="C27" s="68" t="str">
        <f>_xlfn.CONCAT(":10",RIGHT(B27,4),"00",Y19:AL19,W20:X20)</f>
        <v>:10820000E20F0F67D85DC401788003E3060501EB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">
        <v>69</v>
      </c>
      <c r="C28" s="68" t="str">
        <f>_xlfn.CONCAT(":10",RIGHT(B28,4),"00",Y20:AL20,W21:X21)</f>
        <v>:108210000146D0004903485798A953e5018b8490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">
        <v>265</v>
      </c>
      <c r="C29" s="68" t="str">
        <f>_xlfn.CONCAT(":10",RIGHT(B29,4),"00",Y21:AL21,W22:X22)</f>
        <v>:10822000018C0AD08A20E02D10103E9600C48E21</v>
      </c>
      <c r="D29" s="36"/>
      <c r="E29" s="36"/>
      <c r="F29" s="36"/>
      <c r="G29" s="36" t="str" cm="1">
        <f t="array" ref="G29">IntelHexChecksum(RIGHT(C29,40))</f>
        <v>C9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">
        <v>266</v>
      </c>
      <c r="C30" s="73" t="str">
        <f>_xlfn.CONCAT(":10823000",Y22:AL22,"00FF")</f>
        <v>:1082300000001800000000000000000000E400FF</v>
      </c>
      <c r="D30" s="44"/>
      <c r="E30" s="44"/>
      <c r="F30" s="44"/>
      <c r="G30" s="44" t="str" cm="1">
        <f t="array" ref="G30">IntelHexChecksum(RIGHT(C30,40))</f>
        <v>43</v>
      </c>
      <c r="H30" s="44"/>
      <c r="I30" s="44"/>
      <c r="J30" s="45"/>
      <c r="U30" t="s">
        <v>249</v>
      </c>
      <c r="V30" s="59" t="s">
        <v>169</v>
      </c>
      <c r="W30" s="59" t="s">
        <v>134</v>
      </c>
      <c r="X30" s="75" t="s">
        <v>131</v>
      </c>
      <c r="Y30" s="59" t="s">
        <v>141</v>
      </c>
      <c r="Z30" s="59" t="s">
        <v>105</v>
      </c>
      <c r="AA30" s="59" t="s">
        <v>170</v>
      </c>
      <c r="AB30" s="59" t="s">
        <v>145</v>
      </c>
      <c r="AC30" s="59" t="s">
        <v>28</v>
      </c>
      <c r="AD30" s="59" t="s">
        <v>28</v>
      </c>
      <c r="AE30" s="59" t="s">
        <v>171</v>
      </c>
      <c r="AF30" s="59" t="s">
        <v>126</v>
      </c>
      <c r="AG30" s="59" t="s">
        <v>7</v>
      </c>
      <c r="AH30" s="59" t="s">
        <v>167</v>
      </c>
      <c r="AI30" s="59" t="s">
        <v>172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disablePrompts="1"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50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182</v>
      </c>
      <c r="Y7" s="59" t="s">
        <v>182</v>
      </c>
      <c r="Z7" s="59" t="s">
        <v>182</v>
      </c>
      <c r="AA7" s="59" t="s">
        <v>182</v>
      </c>
      <c r="AB7" s="59" t="s">
        <v>182</v>
      </c>
      <c r="AC7" s="59" t="s">
        <v>182</v>
      </c>
      <c r="AD7" s="59" t="s">
        <v>7</v>
      </c>
      <c r="AE7" s="59" t="s">
        <v>75</v>
      </c>
      <c r="AF7" s="59" t="s">
        <v>183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184</v>
      </c>
      <c r="AF8" s="59" t="s">
        <v>185</v>
      </c>
      <c r="AG8" s="59" t="s">
        <v>83</v>
      </c>
      <c r="AH8" s="59" t="s">
        <v>183</v>
      </c>
      <c r="AI8" s="59" t="s">
        <v>84</v>
      </c>
      <c r="AJ8" s="59" t="s">
        <v>186</v>
      </c>
      <c r="AK8" s="59" t="s">
        <v>187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186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188</v>
      </c>
      <c r="AE10" s="59" t="s">
        <v>7</v>
      </c>
      <c r="AF10" s="59" t="s">
        <v>95</v>
      </c>
      <c r="AG10" s="59" t="s">
        <v>189</v>
      </c>
      <c r="AH10" s="59" t="s">
        <v>96</v>
      </c>
      <c r="AI10" s="59" t="s">
        <v>190</v>
      </c>
      <c r="AJ10" s="59" t="s">
        <v>79</v>
      </c>
      <c r="AK10" s="59" t="s">
        <v>187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181</v>
      </c>
      <c r="J11" s="40"/>
      <c r="V11" s="59"/>
      <c r="W11" s="59" t="s">
        <v>191</v>
      </c>
      <c r="X11" s="59" t="s">
        <v>7</v>
      </c>
      <c r="Y11" s="59" t="s">
        <v>98</v>
      </c>
      <c r="Z11" s="59" t="s">
        <v>192</v>
      </c>
      <c r="AA11" s="59" t="s">
        <v>83</v>
      </c>
      <c r="AB11" s="59" t="s">
        <v>7</v>
      </c>
      <c r="AC11" s="59" t="s">
        <v>7</v>
      </c>
      <c r="AD11" s="59" t="s">
        <v>193</v>
      </c>
      <c r="AE11" s="59" t="s">
        <v>99</v>
      </c>
      <c r="AF11" s="59" t="s">
        <v>194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195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196</v>
      </c>
      <c r="Y12" s="59" t="s">
        <v>91</v>
      </c>
      <c r="Z12" s="59" t="s">
        <v>7</v>
      </c>
      <c r="AA12" s="59" t="s">
        <v>98</v>
      </c>
      <c r="AB12" s="59" t="s">
        <v>192</v>
      </c>
      <c r="AC12" s="59" t="s">
        <v>83</v>
      </c>
      <c r="AD12" s="59" t="s">
        <v>7</v>
      </c>
      <c r="AE12" s="59" t="s">
        <v>7</v>
      </c>
      <c r="AF12" s="59" t="s">
        <v>193</v>
      </c>
      <c r="AG12" s="59" t="s">
        <v>7</v>
      </c>
      <c r="AH12" s="59" t="s">
        <v>7</v>
      </c>
      <c r="AI12" s="59" t="s">
        <v>7</v>
      </c>
      <c r="AJ12" s="59" t="s">
        <v>197</v>
      </c>
      <c r="AK12" s="59" t="s">
        <v>7</v>
      </c>
      <c r="AL12" s="59" t="s">
        <v>198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195</v>
      </c>
      <c r="Z13" s="59" t="s">
        <v>199</v>
      </c>
      <c r="AA13" s="59" t="s">
        <v>195</v>
      </c>
      <c r="AB13" s="59" t="s">
        <v>104</v>
      </c>
      <c r="AC13" s="59" t="s">
        <v>195</v>
      </c>
      <c r="AD13" s="59" t="s">
        <v>87</v>
      </c>
      <c r="AE13" s="59" t="s">
        <v>184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200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201</v>
      </c>
      <c r="Z14" s="59" t="s">
        <v>202</v>
      </c>
      <c r="AA14" s="59" t="s">
        <v>106</v>
      </c>
      <c r="AB14" s="59" t="s">
        <v>203</v>
      </c>
      <c r="AC14" s="59" t="s">
        <v>7</v>
      </c>
      <c r="AD14" s="59" t="s">
        <v>184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204</v>
      </c>
      <c r="Z15" s="59" t="s">
        <v>189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205</v>
      </c>
      <c r="AA16" s="59" t="s">
        <v>105</v>
      </c>
      <c r="AB16" s="59" t="s">
        <v>118</v>
      </c>
      <c r="AC16" s="59" t="s">
        <v>206</v>
      </c>
      <c r="AD16" s="59" t="s">
        <v>92</v>
      </c>
      <c r="AE16" s="59" t="s">
        <v>119</v>
      </c>
      <c r="AF16" s="59" t="s">
        <v>202</v>
      </c>
      <c r="AG16" s="59" t="s">
        <v>207</v>
      </c>
      <c r="AH16" s="59" t="s">
        <v>113</v>
      </c>
      <c r="AI16" s="59" t="s">
        <v>208</v>
      </c>
      <c r="AJ16" s="59" t="s">
        <v>193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209</v>
      </c>
      <c r="Z17" s="59" t="s">
        <v>210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210</v>
      </c>
      <c r="AG17" s="59" t="s">
        <v>78</v>
      </c>
      <c r="AH17" s="59" t="s">
        <v>122</v>
      </c>
      <c r="AI17" s="59" t="s">
        <v>209</v>
      </c>
      <c r="AJ17" s="59" t="s">
        <v>7</v>
      </c>
      <c r="AK17" s="59" t="s">
        <v>7</v>
      </c>
      <c r="AL17" s="59" t="s">
        <v>211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212</v>
      </c>
      <c r="Y18" s="59" t="s">
        <v>7</v>
      </c>
      <c r="Z18" s="59" t="s">
        <v>213</v>
      </c>
      <c r="AA18" s="59" t="s">
        <v>78</v>
      </c>
      <c r="AB18" s="59" t="s">
        <v>214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203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215</v>
      </c>
      <c r="Z19" s="59" t="s">
        <v>202</v>
      </c>
      <c r="AA19" s="59" t="s">
        <v>202</v>
      </c>
      <c r="AB19" s="59" t="s">
        <v>121</v>
      </c>
      <c r="AC19" s="59" t="s">
        <v>216</v>
      </c>
      <c r="AD19" s="59" t="s">
        <v>204</v>
      </c>
      <c r="AE19" s="59" t="s">
        <v>217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211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218</v>
      </c>
      <c r="AB20" s="59" t="s">
        <v>7</v>
      </c>
      <c r="AC20" s="59" t="s">
        <v>219</v>
      </c>
      <c r="AD20" s="59" t="s">
        <v>184</v>
      </c>
      <c r="AE20" s="59" t="s">
        <v>86</v>
      </c>
      <c r="AF20" s="59" t="s">
        <v>220</v>
      </c>
      <c r="AG20" s="59" t="s">
        <v>79</v>
      </c>
      <c r="AH20" s="59" t="s">
        <v>221</v>
      </c>
      <c r="AI20" s="59" t="s">
        <v>222</v>
      </c>
      <c r="AJ20" s="59" t="s">
        <v>223</v>
      </c>
      <c r="AK20" s="59" t="s">
        <v>184</v>
      </c>
      <c r="AL20" s="59" t="s">
        <v>218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191</v>
      </c>
      <c r="X21" s="76" t="s">
        <v>105</v>
      </c>
      <c r="Y21" s="76" t="s">
        <v>224</v>
      </c>
      <c r="Z21" s="59" t="s">
        <v>195</v>
      </c>
      <c r="AA21" s="59" t="s">
        <v>28</v>
      </c>
      <c r="AB21" s="75" t="s">
        <v>28</v>
      </c>
      <c r="AC21" s="59" t="s">
        <v>225</v>
      </c>
      <c r="AD21" s="59" t="s">
        <v>126</v>
      </c>
      <c r="AE21" s="59" t="s">
        <v>7</v>
      </c>
      <c r="AF21" s="59" t="s">
        <v>217</v>
      </c>
      <c r="AG21" s="59" t="s">
        <v>226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227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236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240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241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242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243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2025-05-02T18:58:14Z</dcterms:modified>
</cp:coreProperties>
</file>