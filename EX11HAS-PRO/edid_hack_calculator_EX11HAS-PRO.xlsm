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EX11HAS-PRO\"/>
    </mc:Choice>
  </mc:AlternateContent>
  <xr:revisionPtr revIDLastSave="0" documentId="13_ncr:1_{B5374AA8-3F6E-4698-AA30-30550D9D83B7}" xr6:coauthVersionLast="47" xr6:coauthVersionMax="47" xr10:uidLastSave="{00000000-0000-0000-0000-000000000000}"/>
  <bookViews>
    <workbookView xWindow="2776" yWindow="2327" windowWidth="27153" windowHeight="13801" activeTab="2" xr2:uid="{DE808AFE-8AFE-4111-8161-9EF8B03B2A2C}"/>
  </bookViews>
  <sheets>
    <sheet name="Patcher" sheetId="1" r:id="rId1"/>
    <sheet name="Custom DV" sheetId="5" r:id="rId2"/>
    <sheet name="Custom EDID-EZCOO" sheetId="6" r:id="rId3"/>
    <sheet name="Original EDID-EZCOO" sheetId="7" r:id="rId4"/>
  </sheets>
  <functionGroups builtInGroupCount="19"/>
  <externalReferences>
    <externalReference r:id="rId5"/>
  </externalReferences>
  <definedNames>
    <definedName name="HDR10Plus">'Custom EDID-EZCOO'!$K$3</definedName>
    <definedName name="LS12000_Native">'Custom EDID-EZCOO'!$AU$23:$AU$24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6" i="6" l="1"/>
  <c r="AA22" i="6"/>
  <c r="Z22" i="6"/>
  <c r="Y22" i="6"/>
  <c r="X22" i="6"/>
  <c r="W22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AL20" i="6"/>
  <c r="AK20" i="6"/>
  <c r="AJ20" i="6"/>
  <c r="V25" i="6"/>
  <c r="C27" i="6"/>
  <c r="V26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G29" i="7" a="1"/>
  <c r="G27" i="7" a="1"/>
  <c r="G24" i="7" a="1"/>
  <c r="G18" i="7" a="1"/>
  <c r="G16" i="7" a="1"/>
  <c r="G22" i="7" a="1"/>
  <c r="G25" i="7" a="1"/>
  <c r="G23" i="7" a="1"/>
  <c r="G30" i="7" a="1"/>
  <c r="G14" i="7" a="1"/>
  <c r="G17" i="7" a="1"/>
  <c r="G21" i="7" a="1"/>
  <c r="G19" i="7" a="1"/>
  <c r="G26" i="7" a="1"/>
  <c r="G28" i="7" a="1"/>
  <c r="G15" i="7" a="1"/>
  <c r="G20" i="7" a="1"/>
  <c r="Y15" i="6" l="1"/>
  <c r="C23" i="6" s="1"/>
  <c r="B23" i="6" s="1"/>
  <c r="C30" i="6"/>
  <c r="B30" i="6" s="1"/>
  <c r="C29" i="6"/>
  <c r="B29" i="6" s="1"/>
  <c r="C28" i="6"/>
  <c r="B28" i="6" s="1"/>
  <c r="G16" i="7"/>
  <c r="G20" i="7"/>
  <c r="G28" i="7"/>
  <c r="G14" i="7"/>
  <c r="G18" i="7"/>
  <c r="G22" i="7"/>
  <c r="G26" i="7"/>
  <c r="G30" i="7"/>
  <c r="G24" i="7"/>
  <c r="G15" i="7"/>
  <c r="G19" i="7"/>
  <c r="G23" i="7"/>
  <c r="G27" i="7"/>
  <c r="G17" i="7"/>
  <c r="G21" i="7"/>
  <c r="G25" i="7"/>
  <c r="G29" i="7"/>
  <c r="B27" i="6"/>
  <c r="B26" i="6"/>
  <c r="B25" i="6"/>
  <c r="B24" i="6"/>
  <c r="B22" i="6"/>
  <c r="B21" i="6"/>
  <c r="B20" i="6"/>
  <c r="B19" i="6"/>
  <c r="B18" i="6"/>
  <c r="B17" i="6"/>
  <c r="B16" i="6"/>
  <c r="B15" i="6"/>
  <c r="B14" i="6"/>
  <c r="G30" i="6" a="1"/>
  <c r="G30" i="6" l="1"/>
  <c r="T7" i="6"/>
  <c r="V25" i="7"/>
  <c r="Q8" i="7"/>
  <c r="Q5" i="7" s="1"/>
  <c r="AF27" i="7" s="1"/>
  <c r="P8" i="7"/>
  <c r="N8" i="7"/>
  <c r="M8" i="7"/>
  <c r="L8" i="7"/>
  <c r="I8" i="7"/>
  <c r="H8" i="7"/>
  <c r="F8" i="7"/>
  <c r="E8" i="7"/>
  <c r="T7" i="7"/>
  <c r="T8" i="7" s="1"/>
  <c r="S7" i="7"/>
  <c r="S8" i="7" s="1"/>
  <c r="S5" i="7" s="1"/>
  <c r="AG27" i="7" s="1"/>
  <c r="R7" i="7"/>
  <c r="R8" i="7" s="1"/>
  <c r="Q7" i="7"/>
  <c r="O7" i="7"/>
  <c r="O8" i="7" s="1"/>
  <c r="O5" i="7" s="1"/>
  <c r="AE27" i="7" s="1"/>
  <c r="M7" i="7"/>
  <c r="M5" i="7"/>
  <c r="AD27" i="7" s="1"/>
  <c r="C5" i="7"/>
  <c r="AA27" i="7" s="1"/>
  <c r="AP35" i="7" a="1"/>
  <c r="AQ24" i="7" a="1"/>
  <c r="AQ20" i="7" a="1"/>
  <c r="AQ16" i="7" a="1"/>
  <c r="AP10" i="7" a="1"/>
  <c r="AQ35" i="7" a="1"/>
  <c r="AP20" i="7" a="1"/>
  <c r="AP13" i="7" a="1"/>
  <c r="AP36" i="7" a="1"/>
  <c r="AQ29" i="7" a="1"/>
  <c r="AP34" i="7" a="1"/>
  <c r="AP28" i="7" a="1"/>
  <c r="AQ11" i="7" a="1"/>
  <c r="AQ26" i="7" a="1"/>
  <c r="AP16" i="7" a="1"/>
  <c r="AQ9" i="7" a="1"/>
  <c r="AQ17" i="7" a="1"/>
  <c r="AQ13" i="7" a="1"/>
  <c r="AP15" i="7" a="1"/>
  <c r="AQ36" i="7" a="1"/>
  <c r="AP33" i="7" a="1"/>
  <c r="AP11" i="7" a="1"/>
  <c r="AQ33" i="7" a="1"/>
  <c r="AQ23" i="7" a="1"/>
  <c r="AQ19" i="7" a="1"/>
  <c r="AQ15" i="7" a="1"/>
  <c r="AQ8" i="7" a="1"/>
  <c r="AQ31" i="7" a="1"/>
  <c r="AP19" i="7" a="1"/>
  <c r="AQ10" i="7" a="1"/>
  <c r="AQ34" i="7" a="1"/>
  <c r="AQ28" i="7" a="1"/>
  <c r="AQ32" i="7" a="1"/>
  <c r="AP27" i="7" a="1"/>
  <c r="AP9" i="7" a="1"/>
  <c r="AP23" i="7" a="1"/>
  <c r="AP14" i="7" a="1"/>
  <c r="AQ6" i="7" a="1"/>
  <c r="AP26" i="7" a="1"/>
  <c r="AP22" i="7" a="1"/>
  <c r="AQ30" i="7" a="1"/>
  <c r="AP12" i="7" a="1"/>
  <c r="AQ12" i="7" a="1"/>
  <c r="AP31" i="7" a="1"/>
  <c r="AQ22" i="7" a="1"/>
  <c r="AQ18" i="7" a="1"/>
  <c r="AQ14" i="7" a="1"/>
  <c r="AQ7" i="7" a="1"/>
  <c r="AP24" i="7" a="1"/>
  <c r="AP17" i="7" a="1"/>
  <c r="AP8" i="7" a="1"/>
  <c r="AP32" i="7" a="1"/>
  <c r="AQ27" i="7" a="1"/>
  <c r="AP30" i="7" a="1"/>
  <c r="AP25" i="7" a="1"/>
  <c r="AP6" i="7" a="1"/>
  <c r="AP21" i="7" a="1"/>
  <c r="AP5" i="7" a="1"/>
  <c r="AQ25" i="7" a="1"/>
  <c r="AQ21" i="7" a="1"/>
  <c r="AQ5" i="7" a="1"/>
  <c r="AP7" i="7" a="1"/>
  <c r="AP29" i="7" a="1"/>
  <c r="AP18" i="7" a="1"/>
  <c r="AP11" i="7" l="1"/>
  <c r="AN11" i="7" s="1"/>
  <c r="AQ25" i="7"/>
  <c r="AQ6" i="7"/>
  <c r="AQ9" i="7"/>
  <c r="AQ12" i="7"/>
  <c r="AP5" i="7"/>
  <c r="AN5" i="7" s="1"/>
  <c r="AP14" i="7"/>
  <c r="AN14" i="7" s="1"/>
  <c r="AP16" i="7"/>
  <c r="AN16" i="7" s="1"/>
  <c r="AP18" i="7"/>
  <c r="AN18" i="7" s="1"/>
  <c r="AP21" i="7"/>
  <c r="AN21" i="7" s="1"/>
  <c r="AP23" i="7"/>
  <c r="AN23" i="7" s="1"/>
  <c r="AQ26" i="7"/>
  <c r="AP33" i="7"/>
  <c r="AN33" i="7" s="1"/>
  <c r="AP6" i="7"/>
  <c r="AN6" i="7" s="1"/>
  <c r="AP9" i="7"/>
  <c r="AN9" i="7" s="1"/>
  <c r="AQ11" i="7"/>
  <c r="AP12" i="7"/>
  <c r="AN12" i="7" s="1"/>
  <c r="AP25" i="7"/>
  <c r="AN25" i="7" s="1"/>
  <c r="AP27" i="7"/>
  <c r="AN27" i="7" s="1"/>
  <c r="AP28" i="7"/>
  <c r="AN28" i="7" s="1"/>
  <c r="AP29" i="7"/>
  <c r="AN29" i="7" s="1"/>
  <c r="AP30" i="7"/>
  <c r="AN30" i="7" s="1"/>
  <c r="AQ32" i="7"/>
  <c r="AP34" i="7"/>
  <c r="AN34" i="7" s="1"/>
  <c r="AQ36" i="7"/>
  <c r="AQ27" i="7"/>
  <c r="AQ28" i="7"/>
  <c r="AQ29" i="7"/>
  <c r="AQ30" i="7"/>
  <c r="AP32" i="7"/>
  <c r="AN32" i="7" s="1"/>
  <c r="AQ34" i="7"/>
  <c r="AP36" i="7"/>
  <c r="AN36" i="7" s="1"/>
  <c r="AP7" i="7"/>
  <c r="AN7" i="7" s="1"/>
  <c r="AP8" i="7"/>
  <c r="AN8" i="7" s="1"/>
  <c r="AQ10" i="7"/>
  <c r="AP13" i="7"/>
  <c r="AN13" i="7" s="1"/>
  <c r="AP15" i="7"/>
  <c r="AN15" i="7" s="1"/>
  <c r="AP17" i="7"/>
  <c r="AN17" i="7" s="1"/>
  <c r="AP19" i="7"/>
  <c r="AN19" i="7" s="1"/>
  <c r="AP20" i="7"/>
  <c r="AN20" i="7" s="1"/>
  <c r="AP22" i="7"/>
  <c r="AN22" i="7" s="1"/>
  <c r="AP24" i="7"/>
  <c r="AN24" i="7" s="1"/>
  <c r="AQ31" i="7"/>
  <c r="AQ35" i="7"/>
  <c r="AQ5" i="7"/>
  <c r="G8" i="7" s="1"/>
  <c r="G5" i="7" s="1"/>
  <c r="AQ7" i="7"/>
  <c r="AQ8" i="7"/>
  <c r="AP10" i="7"/>
  <c r="AN10" i="7" s="1"/>
  <c r="AQ13" i="7"/>
  <c r="AQ14" i="7"/>
  <c r="AQ15" i="7"/>
  <c r="AQ16" i="7"/>
  <c r="AQ17" i="7"/>
  <c r="AQ18" i="7"/>
  <c r="AQ19" i="7"/>
  <c r="AQ20" i="7"/>
  <c r="AQ21" i="7"/>
  <c r="AQ22" i="7"/>
  <c r="AQ23" i="7"/>
  <c r="AQ24" i="7"/>
  <c r="AP26" i="7"/>
  <c r="AN26" i="7" s="1"/>
  <c r="AP31" i="7"/>
  <c r="AN31" i="7" s="1"/>
  <c r="AQ33" i="7"/>
  <c r="AP35" i="7"/>
  <c r="AN35" i="7" s="1"/>
  <c r="AB27" i="7" l="1"/>
  <c r="J8" i="7"/>
  <c r="J5" i="7" s="1"/>
  <c r="AC27" i="7" s="1"/>
  <c r="C12" i="7" l="1"/>
  <c r="C13" i="7" a="1"/>
  <c r="C13" i="7" l="1"/>
  <c r="P8" i="6" l="1"/>
  <c r="N8" i="6"/>
  <c r="L8" i="6"/>
  <c r="I8" i="6"/>
  <c r="H8" i="6"/>
  <c r="F8" i="6"/>
  <c r="E8" i="6"/>
  <c r="T8" i="6"/>
  <c r="S7" i="6"/>
  <c r="S8" i="6" s="1"/>
  <c r="R7" i="6"/>
  <c r="R8" i="6" s="1"/>
  <c r="Q7" i="6"/>
  <c r="Q8" i="6" s="1"/>
  <c r="O7" i="6"/>
  <c r="O8" i="6" s="1"/>
  <c r="M7" i="6"/>
  <c r="M8" i="6" s="1"/>
  <c r="P8" i="5"/>
  <c r="N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Q32" i="6" a="1"/>
  <c r="AP7" i="6" a="1"/>
  <c r="AQ10" i="5" a="1"/>
  <c r="AP13" i="5" a="1"/>
  <c r="AP6" i="6" a="1"/>
  <c r="AQ18" i="6" a="1"/>
  <c r="G20" i="6" a="1"/>
  <c r="AQ8" i="5" a="1"/>
  <c r="AP19" i="6" a="1"/>
  <c r="AQ5" i="6" a="1"/>
  <c r="AP6" i="5" a="1"/>
  <c r="AP9" i="6" a="1"/>
  <c r="AP17" i="6" a="1"/>
  <c r="AP20" i="6" a="1"/>
  <c r="AQ13" i="5" a="1"/>
  <c r="AP15" i="5" a="1"/>
  <c r="AP32" i="6" a="1"/>
  <c r="AP21" i="5" a="1"/>
  <c r="G19" i="6" a="1"/>
  <c r="AQ29" i="5" a="1"/>
  <c r="AQ27" i="5" a="1"/>
  <c r="AP36" i="6" a="1"/>
  <c r="AP35" i="6" a="1"/>
  <c r="AP29" i="6" a="1"/>
  <c r="AQ10" i="6" a="1"/>
  <c r="AP26" i="5" a="1"/>
  <c r="AQ7" i="6" a="1"/>
  <c r="AQ20" i="5" a="1"/>
  <c r="AQ25" i="6" a="1"/>
  <c r="AP5" i="5" a="1"/>
  <c r="AQ16" i="5" a="1"/>
  <c r="AQ33" i="6" a="1"/>
  <c r="AP8" i="6" a="1"/>
  <c r="AQ29" i="6" a="1"/>
  <c r="AP9" i="5" a="1"/>
  <c r="AQ11" i="6" a="1"/>
  <c r="AQ28" i="6" a="1"/>
  <c r="G18" i="6" a="1"/>
  <c r="AQ30" i="5" a="1"/>
  <c r="AP34" i="5" a="1"/>
  <c r="AQ18" i="5" a="1"/>
  <c r="AQ13" i="6" a="1"/>
  <c r="AP31" i="5" a="1"/>
  <c r="AP16" i="6" a="1"/>
  <c r="AQ30" i="6" a="1"/>
  <c r="AP30" i="5" a="1"/>
  <c r="G24" i="6" a="1"/>
  <c r="AP31" i="6" a="1"/>
  <c r="AP27" i="6" a="1"/>
  <c r="AQ26" i="6" a="1"/>
  <c r="AQ9" i="5" a="1"/>
  <c r="AP10" i="5" a="1"/>
  <c r="AQ34" i="5" a="1"/>
  <c r="AQ14" i="6" a="1"/>
  <c r="AQ24" i="5" a="1"/>
  <c r="AP11" i="5" a="1"/>
  <c r="AQ31" i="6" a="1"/>
  <c r="AP19" i="5" a="1"/>
  <c r="AP14" i="5" a="1"/>
  <c r="AP30" i="6" a="1"/>
  <c r="AP13" i="6" a="1"/>
  <c r="AQ6" i="6" a="1"/>
  <c r="AQ33" i="5" a="1"/>
  <c r="AQ25" i="5" a="1"/>
  <c r="AQ27" i="6" a="1"/>
  <c r="G14" i="6" a="1"/>
  <c r="AQ14" i="5" a="1"/>
  <c r="AP34" i="6" a="1"/>
  <c r="AP20" i="5" a="1"/>
  <c r="AQ15" i="6" a="1"/>
  <c r="AQ24" i="6" a="1"/>
  <c r="G25" i="6" a="1"/>
  <c r="AP33" i="6" a="1"/>
  <c r="AP23" i="5" a="1"/>
  <c r="AQ6" i="5" a="1"/>
  <c r="AP24" i="5" a="1"/>
  <c r="AQ16" i="6" a="1"/>
  <c r="AQ31" i="5" a="1"/>
  <c r="AP12" i="5" a="1"/>
  <c r="AP12" i="6" a="1"/>
  <c r="AQ26" i="5" a="1"/>
  <c r="AQ8" i="6" a="1"/>
  <c r="AP28" i="5" a="1"/>
  <c r="G17" i="6" a="1"/>
  <c r="AP14" i="6" a="1"/>
  <c r="AQ9" i="6" a="1"/>
  <c r="AQ28" i="5" a="1"/>
  <c r="AQ15" i="5" a="1"/>
  <c r="AQ23" i="6" a="1"/>
  <c r="AQ21" i="6" a="1"/>
  <c r="AP24" i="6" a="1"/>
  <c r="AQ22" i="5" a="1"/>
  <c r="AP25" i="5" a="1"/>
  <c r="AP22" i="6" a="1"/>
  <c r="AP7" i="5" a="1"/>
  <c r="AQ12" i="5" a="1"/>
  <c r="AQ17" i="5" a="1"/>
  <c r="AQ22" i="6" a="1"/>
  <c r="AP18" i="6" a="1"/>
  <c r="AP21" i="6" a="1"/>
  <c r="AQ11" i="5" a="1"/>
  <c r="AQ32" i="5" a="1"/>
  <c r="AQ34" i="6" a="1"/>
  <c r="AQ19" i="5" a="1"/>
  <c r="G26" i="6" a="1"/>
  <c r="AP8" i="5" a="1"/>
  <c r="AP11" i="6" a="1"/>
  <c r="AQ19" i="6" a="1"/>
  <c r="AP26" i="6" a="1"/>
  <c r="AP25" i="6" a="1"/>
  <c r="AQ35" i="6" a="1"/>
  <c r="AP35" i="5" a="1"/>
  <c r="AQ23" i="5" a="1"/>
  <c r="AQ35" i="5" a="1"/>
  <c r="AQ17" i="6" a="1"/>
  <c r="G16" i="6" a="1"/>
  <c r="AP18" i="5" a="1"/>
  <c r="AP15" i="6" a="1"/>
  <c r="AP29" i="5" a="1"/>
  <c r="AP22" i="5" a="1"/>
  <c r="AQ20" i="6" a="1"/>
  <c r="G21" i="6" a="1"/>
  <c r="AP23" i="6" a="1"/>
  <c r="AP16" i="5" a="1"/>
  <c r="AQ5" i="5" a="1"/>
  <c r="AP17" i="5" a="1"/>
  <c r="AP10" i="6" a="1"/>
  <c r="AP36" i="5" a="1"/>
  <c r="AP33" i="5" a="1"/>
  <c r="AP28" i="6" a="1"/>
  <c r="AQ36" i="5" a="1"/>
  <c r="AQ7" i="5" a="1"/>
  <c r="G22" i="6" a="1"/>
  <c r="AQ21" i="5" a="1"/>
  <c r="AP27" i="5" a="1"/>
  <c r="AQ36" i="6" a="1"/>
  <c r="AQ12" i="6" a="1"/>
  <c r="AP32" i="5" a="1"/>
  <c r="G15" i="6" a="1"/>
  <c r="AP5" i="6" a="1"/>
  <c r="G23" i="6" a="1"/>
  <c r="G29" i="6" a="1"/>
  <c r="G28" i="6" a="1"/>
  <c r="O5" i="6" l="1"/>
  <c r="AE27" i="6" s="1"/>
  <c r="S5" i="6"/>
  <c r="AG27" i="6" s="1"/>
  <c r="C5" i="6"/>
  <c r="AA27" i="6" s="1"/>
  <c r="M5" i="6"/>
  <c r="AD27" i="6" s="1"/>
  <c r="AP5" i="6"/>
  <c r="AN5" i="6" s="1"/>
  <c r="G15" i="6"/>
  <c r="G19" i="6"/>
  <c r="G26" i="6"/>
  <c r="G16" i="6"/>
  <c r="G20" i="6"/>
  <c r="G28" i="6"/>
  <c r="G17" i="6"/>
  <c r="G29" i="6"/>
  <c r="G14" i="6"/>
  <c r="G18" i="6"/>
  <c r="AQ8" i="6"/>
  <c r="AP10" i="6"/>
  <c r="AN10" i="6" s="1"/>
  <c r="AQ13" i="6"/>
  <c r="AQ14" i="6"/>
  <c r="AQ15" i="6"/>
  <c r="AQ16" i="6"/>
  <c r="AQ17" i="6"/>
  <c r="AQ18" i="6"/>
  <c r="AQ19" i="6"/>
  <c r="AQ25" i="6"/>
  <c r="AQ27" i="6"/>
  <c r="AQ28" i="6"/>
  <c r="AQ29" i="6"/>
  <c r="AQ30" i="6"/>
  <c r="AP32" i="6"/>
  <c r="AN32" i="6" s="1"/>
  <c r="AQ34" i="6"/>
  <c r="AP36" i="6"/>
  <c r="AN36" i="6" s="1"/>
  <c r="AP6" i="6"/>
  <c r="AN6" i="6" s="1"/>
  <c r="AQ5" i="6"/>
  <c r="G8" i="6" s="1"/>
  <c r="G5" i="6" s="1"/>
  <c r="AQ7" i="6"/>
  <c r="AQ6" i="6"/>
  <c r="AQ9" i="6"/>
  <c r="AP11" i="6"/>
  <c r="AN11" i="6" s="1"/>
  <c r="AQ12" i="6"/>
  <c r="AP20" i="6"/>
  <c r="AN20" i="6" s="1"/>
  <c r="AP21" i="6"/>
  <c r="AN21" i="6" s="1"/>
  <c r="AP22" i="6"/>
  <c r="AN22" i="6" s="1"/>
  <c r="AP23" i="6"/>
  <c r="AN23" i="6" s="1"/>
  <c r="AP24" i="6"/>
  <c r="AN24" i="6" s="1"/>
  <c r="AQ26" i="6"/>
  <c r="AQ31" i="6"/>
  <c r="AP33" i="6"/>
  <c r="AN33" i="6" s="1"/>
  <c r="AQ35" i="6"/>
  <c r="AP7" i="6"/>
  <c r="AN7" i="6" s="1"/>
  <c r="AP8" i="6"/>
  <c r="AN8" i="6" s="1"/>
  <c r="AQ10" i="6"/>
  <c r="AP13" i="6"/>
  <c r="AN13" i="6" s="1"/>
  <c r="AP14" i="6"/>
  <c r="AN14" i="6" s="1"/>
  <c r="AP15" i="6"/>
  <c r="AN15" i="6" s="1"/>
  <c r="AP16" i="6"/>
  <c r="AN16" i="6" s="1"/>
  <c r="AP17" i="6"/>
  <c r="AN17" i="6" s="1"/>
  <c r="AP18" i="6"/>
  <c r="AN18" i="6" s="1"/>
  <c r="AP19" i="6"/>
  <c r="AN19" i="6" s="1"/>
  <c r="G21" i="6"/>
  <c r="G22" i="6"/>
  <c r="G23" i="6"/>
  <c r="G24" i="6"/>
  <c r="G25" i="6"/>
  <c r="AP25" i="6"/>
  <c r="AN25" i="6" s="1"/>
  <c r="AP27" i="6"/>
  <c r="AN27" i="6" s="1"/>
  <c r="AP28" i="6"/>
  <c r="AN28" i="6" s="1"/>
  <c r="AP29" i="6"/>
  <c r="AN29" i="6" s="1"/>
  <c r="AP30" i="6"/>
  <c r="AN30" i="6" s="1"/>
  <c r="AQ32" i="6"/>
  <c r="AP34" i="6"/>
  <c r="AN34" i="6" s="1"/>
  <c r="AQ36" i="6"/>
  <c r="AP9" i="6"/>
  <c r="AN9" i="6" s="1"/>
  <c r="AQ11" i="6"/>
  <c r="AP12" i="6"/>
  <c r="AN12" i="6" s="1"/>
  <c r="AQ20" i="6"/>
  <c r="AQ21" i="6"/>
  <c r="AQ22" i="6"/>
  <c r="AQ23" i="6"/>
  <c r="AQ24" i="6"/>
  <c r="AP26" i="6"/>
  <c r="AN26" i="6" s="1"/>
  <c r="AP31" i="6"/>
  <c r="AN31" i="6" s="1"/>
  <c r="AQ33" i="6"/>
  <c r="AP35" i="6"/>
  <c r="AN35" i="6" s="1"/>
  <c r="Q5" i="6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AF27" i="6" l="1"/>
  <c r="AB27" i="6"/>
  <c r="J8" i="6"/>
  <c r="J5" i="6" s="1"/>
  <c r="L8" i="5"/>
  <c r="I8" i="5"/>
  <c r="H8" i="5"/>
  <c r="F8" i="5"/>
  <c r="E8" i="5"/>
  <c r="C5" i="5" s="1"/>
  <c r="S5" i="5"/>
  <c r="G5" i="5"/>
  <c r="AC27" i="6" l="1"/>
  <c r="C12" i="6"/>
  <c r="O5" i="5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G27" i="6" a="1"/>
  <c r="C13" i="6" a="1"/>
  <c r="C13" i="6" l="1"/>
  <c r="G27" i="6"/>
  <c r="J8" i="5"/>
  <c r="J5" i="5" s="1"/>
  <c r="C12" i="5" s="1"/>
  <c r="C13" i="5" a="1"/>
  <c r="C14" i="5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E6" i="1" a="1"/>
  <c r="I6" i="1" a="1"/>
  <c r="H7" i="1"/>
  <c r="L6" i="1" a="1"/>
  <c r="U6" i="1" a="1"/>
  <c r="W6" i="1" a="1"/>
  <c r="P6" i="1" a="1"/>
  <c r="X6" i="1" a="1"/>
  <c r="N6" i="1" a="1"/>
  <c r="AH6" i="1" a="1"/>
  <c r="C7" i="1"/>
  <c r="V4" i="1" a="1"/>
  <c r="Y6" i="1" a="1"/>
  <c r="F7" i="1"/>
  <c r="E7" i="1"/>
  <c r="R4" i="1" a="1"/>
  <c r="Z4" i="1" a="1"/>
  <c r="J7" i="1"/>
  <c r="Z6" i="1" a="1"/>
  <c r="D6" i="1" a="1"/>
  <c r="AB6" i="1" a="1"/>
  <c r="V6" i="1" a="1"/>
  <c r="H4" i="1" a="1"/>
  <c r="H6" i="1" a="1"/>
  <c r="S6" i="1" a="1"/>
  <c r="D7" i="1"/>
  <c r="Q6" i="1" a="1"/>
  <c r="J6" i="1" a="1"/>
  <c r="G7" i="1"/>
  <c r="K6" i="1" a="1"/>
  <c r="V7" i="1"/>
  <c r="AC6" i="1" a="1"/>
  <c r="C4" i="1" a="1"/>
  <c r="F6" i="1" a="1"/>
  <c r="AF6" i="1" a="1"/>
  <c r="G6" i="1" a="1"/>
  <c r="F4" i="1" a="1"/>
  <c r="R6" i="1" a="1"/>
  <c r="N7" i="1"/>
  <c r="M6" i="1" a="1"/>
  <c r="AG6" i="1" a="1"/>
  <c r="AA6" i="1" a="1"/>
  <c r="AE6" i="1" a="1"/>
  <c r="AD6" i="1" a="1"/>
  <c r="C6" i="1" a="1"/>
  <c r="D4" i="1" a="1"/>
  <c r="G4" i="1" a="1"/>
  <c r="T6" i="1" a="1"/>
  <c r="O6" i="1" a="1"/>
  <c r="N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AG4" i="1" a="1"/>
  <c r="S4" i="1" a="1"/>
  <c r="O7" i="1"/>
  <c r="AC4" i="1" a="1"/>
  <c r="Y4" i="1" a="1"/>
  <c r="T7" i="1"/>
  <c r="I4" i="1" a="1"/>
  <c r="Q7" i="1"/>
  <c r="W7" i="1"/>
  <c r="AD4" i="1" a="1"/>
  <c r="P4" i="1" a="1"/>
  <c r="X7" i="1"/>
  <c r="Z7" i="1"/>
  <c r="U7" i="1"/>
  <c r="AH7" i="1"/>
  <c r="AF7" i="1"/>
  <c r="E4" i="1" a="1"/>
  <c r="AA7" i="1"/>
  <c r="AE7" i="1"/>
  <c r="U4" i="1" a="1"/>
  <c r="AG7" i="1"/>
  <c r="M4" i="1" a="1"/>
  <c r="AB7" i="1"/>
  <c r="AF4" i="1" a="1"/>
  <c r="AH4" i="1" a="1"/>
  <c r="W4" i="1" a="1"/>
  <c r="L7" i="1"/>
  <c r="Y7" i="1"/>
  <c r="K4" i="1" a="1"/>
  <c r="AC7" i="1"/>
  <c r="AE4" i="1" a="1"/>
  <c r="AD7" i="1"/>
  <c r="AB4" i="1" a="1"/>
  <c r="AA4" i="1" a="1"/>
  <c r="T4" i="1" a="1"/>
  <c r="K7" i="1"/>
  <c r="P7" i="1"/>
  <c r="O4" i="1" a="1"/>
  <c r="X4" i="1" a="1"/>
  <c r="I7" i="1"/>
  <c r="Q4" i="1" a="1"/>
  <c r="L4" i="1" a="1"/>
  <c r="M7" i="1"/>
  <c r="R7" i="1"/>
  <c r="S7" i="1"/>
  <c r="J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<sst xmlns="http://schemas.openxmlformats.org/spreadsheetml/2006/main" count="827" uniqueCount="255">
  <si>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</si>
  <si>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</si>
  <si>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</si>
  <si>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</si>
  <si>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</si>
  <si>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</si>
  <si>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</si>
  <si>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</si>
  <si>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</si>
  <si>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</si>
  <si>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</si>
  <si>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</si>
  <si>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</si>
  <si>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</si>
  <si>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</si>
  <si>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</si>
  <si>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</si>
  <si>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</si>
  <si>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</si>
  <si>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</si>
  <si>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</si>
  <si>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</si>
  <si>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</si>
  <si>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</si>
  <si>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</si>
  <si>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</si>
  <si>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</si>
  <si>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</si>
  <si>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</si>
  <si>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</si>
  <si>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</si>
  <si>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</si>
  <si>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</si>
  <si>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</si>
  <si>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</si>
  <si>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</si>
  <si>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</si>
  <si>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</si>
  <si>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</si>
  <si>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</si>
  <si>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</si>
  <si>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</si>
  <si>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</si>
  <si>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</si>
  <si>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</si>
  <si>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</si>
  <si>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</si>
  <si>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</si>
  <si>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</si>
  <si>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</si>
  <si>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</si>
  <si>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</si>
  <si>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</si>
  <si>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</si>
  <si>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</si>
  <si>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</si>
  <si>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</si>
  <si>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</si>
  <si>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</si>
  <si>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</si>
  <si>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</si>
  <si>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</si>
  <si>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</si>
  <si>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</si>
  <si>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</si>
  <si>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</si>
  <si>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</si>
  <si>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</si>
  <si>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</si>
  <si>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</si>
  <si>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</si>
  <si>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LS12000 Native</t>
  </si>
  <si>
    <t>C:\exes\gd32\ezcoo_ex11has-pro_ls12000gamut_ML385.hex</t>
  </si>
  <si>
    <t>EDID</t>
  </si>
  <si>
    <t>Block 0</t>
  </si>
  <si>
    <t>34</t>
  </si>
  <si>
    <t>04</t>
  </si>
  <si>
    <t>19</t>
  </si>
  <si>
    <t>03</t>
  </si>
  <si>
    <t>80</t>
  </si>
  <si>
    <t>73</t>
  </si>
  <si>
    <t>41</t>
  </si>
  <si>
    <t>78</t>
  </si>
  <si>
    <t>74</t>
  </si>
  <si>
    <t>57</t>
  </si>
  <si>
    <t>23</t>
  </si>
  <si>
    <t>09</t>
  </si>
  <si>
    <t>48</t>
  </si>
  <si>
    <t>21</t>
  </si>
  <si>
    <t>08</t>
  </si>
  <si>
    <t>81</t>
  </si>
  <si>
    <t>45</t>
  </si>
  <si>
    <t>40</t>
  </si>
  <si>
    <t>61</t>
  </si>
  <si>
    <t>95</t>
  </si>
  <si>
    <t>30</t>
  </si>
  <si>
    <t>70</t>
  </si>
  <si>
    <t>58</t>
  </si>
  <si>
    <t>50</t>
  </si>
  <si>
    <t>02</t>
  </si>
  <si>
    <t>18</t>
  </si>
  <si>
    <t>71</t>
  </si>
  <si>
    <t>38</t>
  </si>
  <si>
    <t>43</t>
  </si>
  <si>
    <t>33</t>
  </si>
  <si>
    <t>20</t>
  </si>
  <si>
    <t>87</t>
  </si>
  <si>
    <t>Block 1</t>
  </si>
  <si>
    <t>53</t>
  </si>
  <si>
    <t>60</t>
  </si>
  <si>
    <t>65</t>
  </si>
  <si>
    <t>66</t>
  </si>
  <si>
    <t>05</t>
  </si>
  <si>
    <t>07</t>
  </si>
  <si>
    <t>12</t>
  </si>
  <si>
    <t>13</t>
  </si>
  <si>
    <t>14</t>
  </si>
  <si>
    <t>16</t>
  </si>
  <si>
    <t>22</t>
  </si>
  <si>
    <t>32</t>
  </si>
  <si>
    <t>15</t>
  </si>
  <si>
    <t>67</t>
  </si>
  <si>
    <t>83</t>
  </si>
  <si>
    <t>06</t>
  </si>
  <si>
    <t>eb</t>
  </si>
  <si>
    <t>46</t>
  </si>
  <si>
    <t>96</t>
  </si>
  <si>
    <t>EDID Analyzer</t>
  </si>
  <si>
    <t>EDID Decode (xs4all.nl)</t>
  </si>
  <si>
    <t>Old Size Dec</t>
  </si>
  <si>
    <t>New Size Hex</t>
  </si>
  <si>
    <t>D0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</si>
  <si>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</si>
  <si>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</si>
  <si>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</si>
  <si>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</si>
  <si>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</si>
  <si>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</si>
  <si>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</si>
  <si>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</si>
  <si>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</si>
  <si>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</si>
  <si>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</si>
  <si>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</si>
  <si>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</si>
  <si>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</si>
  <si>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</si>
  <si>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</si>
  <si>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</si>
  <si>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</si>
  <si>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</si>
  <si>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</si>
  <si>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</si>
  <si>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</si>
  <si>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</si>
  <si>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</si>
  <si>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</si>
  <si>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</si>
  <si>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</si>
  <si>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</si>
  <si>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</si>
  <si>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</si>
  <si>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</si>
  <si>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</si>
  <si>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</si>
  <si>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</si>
  <si>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5D</t>
  </si>
  <si>
    <t>C4</t>
  </si>
  <si>
    <t>EB</t>
  </si>
  <si>
    <t>A1</t>
  </si>
  <si>
    <t>A2</t>
  </si>
  <si>
    <t>8C</t>
  </si>
  <si>
    <t>E0</t>
  </si>
  <si>
    <t>3E</t>
  </si>
  <si>
    <t>8E</t>
  </si>
  <si>
    <t>84</t>
  </si>
  <si>
    <t>8b</t>
  </si>
  <si>
    <t>E4</t>
  </si>
  <si>
    <t>55</t>
  </si>
  <si>
    <t>90</t>
  </si>
  <si>
    <t>Atmos String</t>
  </si>
  <si>
    <t>e6</t>
  </si>
  <si>
    <t>HDR10+ String</t>
  </si>
  <si>
    <t>e5</t>
  </si>
  <si>
    <t>C:\exes\ez_dv_edid_fw\EX11HAS-PRO\ezcoo_fw_LS12000 Native_ML447.hex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</si>
  <si>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</si>
  <si>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</si>
  <si>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</si>
  <si>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</si>
  <si>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</si>
  <si>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</si>
  <si>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</si>
  <si>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</si>
  <si>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</si>
  <si>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</si>
  <si>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</si>
  <si>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</si>
  <si>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</si>
  <si>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</si>
  <si>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</si>
  <si>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</si>
  <si>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</si>
  <si>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</si>
  <si>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</si>
  <si>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</si>
  <si>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</si>
  <si>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</si>
  <si>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5d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</si>
  <si>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</si>
  <si>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</si>
  <si>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</si>
  <si>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</si>
  <si>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</si>
  <si>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</si>
  <si>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</si>
  <si>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</si>
  <si>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</si>
  <si>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</si>
  <si>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</si>
  <si>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</si>
  <si>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c4</t>
  </si>
  <si>
    <t>d0</t>
  </si>
  <si>
    <t>26</t>
  </si>
  <si>
    <t>75</t>
  </si>
  <si>
    <t>5b</t>
  </si>
  <si>
    <t>6c</t>
  </si>
  <si>
    <t>8c</t>
  </si>
  <si>
    <t>e0</t>
  </si>
  <si>
    <t>3e</t>
  </si>
  <si>
    <t>8e</t>
  </si>
  <si>
    <t>e4</t>
  </si>
  <si>
    <t>:10814000FFFFFFFFFF0034A30100010000000419</t>
  </si>
  <si>
    <t>:108150000103807341780ACF74A3574CB0230948</t>
  </si>
  <si>
    <t>:108160004C210800818045406140950001010101</t>
  </si>
  <si>
    <t>:108170000101010108E80030F2705A80B0588A00</t>
  </si>
  <si>
    <t>:10818000501D7400001E023A801871382D40582C</t>
  </si>
  <si>
    <t>:108190004500501D7400001E000000FC004D4543</t>
  </si>
  <si>
    <t>:1081A0002D4F2D332D480A202020000000FD0018</t>
  </si>
  <si>
    <t>:1081B0004B0F873C000A20202020202001480203</t>
  </si>
  <si>
    <t>:1081C0005DF25361606566010304050710121314</t>
  </si>
  <si>
    <t>:1081D000161F20223F40320F7F073D1E50150750</t>
  </si>
  <si>
    <t>:1081E0005F7E01570701677E03835F0000E305C0</t>
  </si>
  <si>
    <t>:1081F000006E030C001000383C20808001020304</t>
  </si>
  <si>
    <t>:10820000E20F0F67D85DC401788003E3060501EB</t>
  </si>
  <si>
    <t>:108210000146D000260A0975805B6C8C0AD08A20</t>
  </si>
  <si>
    <t>:10822000E02D10103E9600C48E21000018000000</t>
  </si>
  <si>
    <t>:1082300000000000000000000000000000E400FF</t>
  </si>
  <si>
    <t>:10813000468F3300501D7400001E0000008600FF</t>
  </si>
  <si>
    <t>HDR10+:</t>
  </si>
  <si>
    <t>HDR10+</t>
  </si>
  <si>
    <t>Y</t>
  </si>
  <si>
    <t>N</t>
  </si>
  <si>
    <t>Post CTA-861</t>
  </si>
  <si>
    <t>(note that this EDID already had DV, need to add 12 more if DV string is added)</t>
  </si>
  <si>
    <t>C:\exes\ez_dv_edid_fw\EX11HAS-PRO\ezcoo_ex11has-pro_CS_LS12000 Native_ML385_hdr10+.hex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</si>
</sst>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3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0" borderId="0" xfId="0" applyFont="1"/>
    <xf numFmtId="0" fontId="0" fillId="0" borderId="2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7" xfId="0" applyFont="1" applyFill="1" applyBorder="1"/>
    <xf numFmtId="0" fontId="1" fillId="2" borderId="0" xfId="0" applyFont="1" applyFill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left"/>
    </xf>
    <xf numFmtId="0" fontId="4" fillId="0" borderId="0" xfId="1"/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0" fillId="0" borderId="23" xfId="0" applyBorder="1" applyAlignment="1" applyProtection="1">
      <alignment horizontal="center"/>
      <protection locked="0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5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C802EEBF-31C5-497E-B380-0E91E1C410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F8C7C3-DBA1-4C8A-B59D-5DD239C45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6682C2-382A-4BFF-A2B0-E8916E4DAF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C-47C3-A47E-116220FB33EF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30CD8A56-D1DA-4663-86DB-2F162ECA8C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'Custom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CBFC-47C3-A47E-116220FB33EF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C6C7C2B-246A-42A8-9640-03AA7F17F8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ECA397-F00F-4688-9B59-1131B118C4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237193-E454-4BDF-B429-ED4D4DEF11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C-47C3-A47E-116220FB33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22DD8C-228B-43A6-9D56-94A2017584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'Custom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CBFC-47C3-A47E-116220FB33EF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068CC397-5734-4E26-A87E-F132996A7C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1A75E9-9377-4DAC-B45B-B73AA99C8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C-47C3-A47E-116220FB33EF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675A9103-861F-4AFA-A521-0C1FC1262D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CBFC-47C3-A47E-116220FB33EF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4A51C6F0-B289-4DDB-BCA8-9646CFCB1A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'Custom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CBFC-47C3-A47E-116220FB33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BF427E87-D495-446F-A0ED-CF7E50327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E77F16-6ED5-43ED-9CA2-525E226927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911881-5C47-41F4-826E-FE2BFAEA6D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B2-4B84-BF11-4BF1142CD732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E83AE9D0-C27E-4121-8828-FE9235401A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'Original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93B2-4B84-BF11-4BF1142CD732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96D85C9-06D2-4066-BD91-D5DE9D3B8E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6CE9AC-AE53-4552-80FA-CD3EECEBDD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ACE2B1-61A8-49D3-9880-119C49F992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B2-4B84-BF11-4BF1142CD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67CF9C-06CC-4FF0-8183-6423D4CDD9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'Original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93B2-4B84-BF11-4BF1142CD732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091AE8F4-4460-4BFA-8830-A8C907FA79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7D098B-D780-46CA-9E3C-A865DADE1A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B2-4B84-BF11-4BF1142CD732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ACE69587-1A97-42BF-A143-9A4D5D0413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3B2-4B84-BF11-4BF1142CD732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19951251-D31C-4209-861C-70C2C57C6C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'Original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93B2-4B84-BF11-4BF1142CD7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exes\ez_dv_edid_fw\SP12H2\edid_hack_calculator.xlsm" TargetMode="External"/><Relationship Id="rId1" Type="http://schemas.openxmlformats.org/officeDocument/2006/relationships/externalLinkPath" Target="/exes/ez_dv_edid_fw/SP12H2/edid_hack_calcul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tcher"/>
      <sheetName val="Custom DV"/>
      <sheetName val="Custom EDID-EZCOO"/>
      <sheetName val="Custom EDID-EZCOO 30Hz"/>
      <sheetName val="Custom EDID-JVC-RS640"/>
      <sheetName val="Custom EDID-Epson5040UB"/>
      <sheetName val="Custom EDID-Epson5050UB"/>
      <sheetName val="Custom EDID-LS10500"/>
      <sheetName val="Custom EDID-VAVA"/>
      <sheetName val="Custom EDID-LS12000"/>
      <sheetName val="Custom EDID-LS12000-Native"/>
      <sheetName val="Custom EDID-JVC-RS400"/>
      <sheetName val="Custom EDID-Formovie T1"/>
      <sheetName val="Custom EDID-EpsonDH"/>
      <sheetName val="Custom EDID-LG HU810"/>
      <sheetName val="Custom EDID-Template"/>
      <sheetName val="EDID"/>
    </sheetNames>
    <definedNames>
      <definedName name="GetInputFile"/>
      <definedName name="makeTheFWs"/>
      <definedName name="SetOutputFil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C36" sqref="C36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9" max="9" width="14.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0" t="str">
        <f>DEC2HEX(_xlfn.BITLSHIFT(BIN2DEC(C8),5)+_xlfn.BITLSHIFT(BIN2DEC(D8),2)+_xlfn.BITLSHIFT(BIN2DEC(E8),1)+BIN2DEC(F8))</f>
        <v>45</v>
      </c>
      <c r="D5" s="80"/>
      <c r="E5" s="80"/>
      <c r="F5" s="81"/>
      <c r="G5" s="82" t="str">
        <f>DEC2HEX(_xlfn.BITLSHIFT(BIN2DEC(G8),3)+_xlfn.BITLSHIFT(BIN2DEC(H8),2)+BIN2DEC(I8),2)</f>
        <v>03</v>
      </c>
      <c r="H5" s="78"/>
      <c r="I5" s="79"/>
      <c r="J5" s="82" t="str">
        <f>DEC2HEX(_xlfn.BITLSHIFT(BIN2DEC(J8),3)+_xlfn.BITLSHIFT(BIN2DEC(K8),1)+BIN2DEC(L8),2)</f>
        <v>48</v>
      </c>
      <c r="K5" s="78"/>
      <c r="L5" s="79"/>
      <c r="M5" s="78" t="str">
        <f>BIN2HEX(_xlfn.CONCAT(M8,N8),2)</f>
        <v>A1</v>
      </c>
      <c r="N5" s="79"/>
      <c r="O5" s="78" t="str">
        <f>BIN2HEX(_xlfn.CONCAT(O8,P8),2)</f>
        <v>58</v>
      </c>
      <c r="P5" s="79"/>
      <c r="Q5" s="78" t="str">
        <f>BIN2HEX(_xlfn.CONCAT(Q8,R8),2)</f>
        <v>55</v>
      </c>
      <c r="R5" s="79"/>
      <c r="S5" s="78" t="str">
        <f>BIN2HEX(_xlfn.CONCAT(S8,T8),2)</f>
        <v>A2</v>
      </c>
      <c r="T5" s="79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72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EB0146D000450348A15855A2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69</v>
      </c>
      <c r="C14" s="43" t="str">
        <f>_xlfn.CONCAT(":10821000", RIGHT($C$12,22), "8C0AD08A20",IntelHexChecksum(_xlfn.CONCAT("10821000", RIGHT($C$12,22), "8C0AD08A20")))</f>
        <v>:108210000146D000450348A15855A28C0AD08A20B7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4" priority="8">
      <formula>$E$7="Not Supported"</formula>
    </cfRule>
  </conditionalFormatting>
  <conditionalFormatting sqref="P7">
    <cfRule type="expression" dxfId="13" priority="4">
      <formula>$N$7="Supported"</formula>
    </cfRule>
  </conditionalFormatting>
  <conditionalFormatting sqref="P7">
    <cfRule type="expression" dxfId="12" priority="3" stopIfTrue="1">
      <formula>IF(AND($N$7="Supported",$P$7="Supported"),TRUE,FALSE)</formula>
    </cfRule>
  </conditionalFormatting>
  <conditionalFormatting sqref="N7">
    <cfRule type="expression" dxfId="11" priority="2">
      <formula>$P$7="Supported"</formula>
    </cfRule>
  </conditionalFormatting>
  <conditionalFormatting sqref="N7">
    <cfRule type="expression" dxfId="1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P7 N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  <dataValidation type="list" allowBlank="1" showInputMessage="1" showErrorMessage="1" sqref="I3" xr:uid="{768973E7-3241-46A1-8F1C-8B62AAAFF378}">
      <formula1>$AU$15:$AU$18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CB04-BE28-4004-9EF1-04640547F9E7}">
  <sheetPr codeName="Sheet17"/>
  <dimension ref="B2:BC54"/>
  <sheetViews>
    <sheetView tabSelected="1" zoomScale="85" zoomScaleNormal="85" workbookViewId="0">
      <selection activeCell="P24" sqref="P24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J3" s="32" t="s">
        <v>248</v>
      </c>
      <c r="K3" s="77" t="s">
        <v>250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0" t="str">
        <f>DEC2HEX(_xlfn.BITLSHIFT(BIN2DEC(C8),5)+_xlfn.BITLSHIFT(BIN2DEC(D8),2)+_xlfn.BITLSHIFT(BIN2DEC(E8),1)+BIN2DEC(F8))</f>
        <v>49</v>
      </c>
      <c r="D5" s="80"/>
      <c r="E5" s="80"/>
      <c r="F5" s="81"/>
      <c r="G5" s="82" t="str">
        <f>DEC2HEX(_xlfn.BITLSHIFT(BIN2DEC(G8),3)+_xlfn.BITLSHIFT(BIN2DEC(H8),2)+BIN2DEC(I8),2)</f>
        <v>03</v>
      </c>
      <c r="H5" s="78"/>
      <c r="I5" s="79"/>
      <c r="J5" s="82" t="str">
        <f>DEC2HEX(_xlfn.BITLSHIFT(BIN2DEC(J8),3)+_xlfn.BITLSHIFT(BIN2DEC(K8),1)+BIN2DEC(L8),2)</f>
        <v>48</v>
      </c>
      <c r="K5" s="78"/>
      <c r="L5" s="79"/>
      <c r="M5" s="78" t="str">
        <f>BIN2HEX(_xlfn.CONCAT(M8,N8),2)</f>
        <v>A1</v>
      </c>
      <c r="N5" s="79"/>
      <c r="O5" s="78" t="str">
        <f>BIN2HEX(_xlfn.CONCAT(O8,P8),2)</f>
        <v>58</v>
      </c>
      <c r="P5" s="79"/>
      <c r="Q5" s="78" t="str">
        <f>BIN2HEX(_xlfn.CONCAT(Q8,R8),2)</f>
        <v>55</v>
      </c>
      <c r="R5" s="79"/>
      <c r="S5" s="78" t="str">
        <f>BIN2HEX(_xlfn.CONCAT(S8,T8),2)</f>
        <v>A2</v>
      </c>
      <c r="T5" s="79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132</v>
      </c>
      <c r="Y7" s="59" t="s">
        <v>132</v>
      </c>
      <c r="Z7" s="59" t="s">
        <v>132</v>
      </c>
      <c r="AA7" s="59" t="s">
        <v>132</v>
      </c>
      <c r="AB7" s="59" t="s">
        <v>132</v>
      </c>
      <c r="AC7" s="59" t="s">
        <v>132</v>
      </c>
      <c r="AD7" s="59" t="s">
        <v>7</v>
      </c>
      <c r="AE7" s="59" t="s">
        <v>75</v>
      </c>
      <c r="AF7" s="59" t="s">
        <v>133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134</v>
      </c>
      <c r="AF8" s="59" t="s">
        <v>135</v>
      </c>
      <c r="AG8" s="59" t="s">
        <v>83</v>
      </c>
      <c r="AH8" s="59" t="s">
        <v>133</v>
      </c>
      <c r="AI8" s="59" t="s">
        <v>84</v>
      </c>
      <c r="AJ8" s="59" t="s">
        <v>136</v>
      </c>
      <c r="AK8" s="59" t="s">
        <v>137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136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138</v>
      </c>
      <c r="AE10" s="59" t="s">
        <v>7</v>
      </c>
      <c r="AF10" s="59" t="s">
        <v>95</v>
      </c>
      <c r="AG10" s="59" t="s">
        <v>139</v>
      </c>
      <c r="AH10" s="59" t="s">
        <v>96</v>
      </c>
      <c r="AI10" s="59" t="s">
        <v>140</v>
      </c>
      <c r="AJ10" s="59" t="s">
        <v>79</v>
      </c>
      <c r="AK10" s="59" t="s">
        <v>137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59"/>
      <c r="W11" s="59" t="s">
        <v>141</v>
      </c>
      <c r="X11" s="59" t="s">
        <v>7</v>
      </c>
      <c r="Y11" s="59" t="s">
        <v>98</v>
      </c>
      <c r="Z11" s="59" t="s">
        <v>142</v>
      </c>
      <c r="AA11" s="59" t="s">
        <v>83</v>
      </c>
      <c r="AB11" s="59" t="s">
        <v>7</v>
      </c>
      <c r="AC11" s="59" t="s">
        <v>7</v>
      </c>
      <c r="AD11" s="59" t="s">
        <v>143</v>
      </c>
      <c r="AE11" s="59" t="s">
        <v>99</v>
      </c>
      <c r="AF11" s="59" t="s">
        <v>144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145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EB0146D000490348A15855A2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146</v>
      </c>
      <c r="Y12" s="59" t="s">
        <v>91</v>
      </c>
      <c r="Z12" s="59" t="s">
        <v>7</v>
      </c>
      <c r="AA12" s="59" t="s">
        <v>98</v>
      </c>
      <c r="AB12" s="59" t="s">
        <v>142</v>
      </c>
      <c r="AC12" s="59" t="s">
        <v>83</v>
      </c>
      <c r="AD12" s="59" t="s">
        <v>7</v>
      </c>
      <c r="AE12" s="59" t="s">
        <v>7</v>
      </c>
      <c r="AF12" s="59" t="s">
        <v>143</v>
      </c>
      <c r="AG12" s="59" t="s">
        <v>7</v>
      </c>
      <c r="AH12" s="59" t="s">
        <v>7</v>
      </c>
      <c r="AI12" s="59" t="s">
        <v>7</v>
      </c>
      <c r="AJ12" s="59" t="s">
        <v>147</v>
      </c>
      <c r="AK12" s="59" t="s">
        <v>7</v>
      </c>
      <c r="AL12" s="59" t="s">
        <v>148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145</v>
      </c>
      <c r="Z13" s="59" t="s">
        <v>149</v>
      </c>
      <c r="AA13" s="59" t="s">
        <v>145</v>
      </c>
      <c r="AB13" s="59" t="s">
        <v>104</v>
      </c>
      <c r="AC13" s="59" t="s">
        <v>145</v>
      </c>
      <c r="AD13" s="59" t="s">
        <v>87</v>
      </c>
      <c r="AE13" s="59" t="s">
        <v>134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150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247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151</v>
      </c>
      <c r="Z14" s="59" t="s">
        <v>152</v>
      </c>
      <c r="AA14" s="59" t="s">
        <v>106</v>
      </c>
      <c r="AB14" s="59" t="s">
        <v>153</v>
      </c>
      <c r="AC14" s="59" t="s">
        <v>7</v>
      </c>
      <c r="AD14" s="59" t="s">
        <v>134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231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2" t="str">
        <f>V26</f>
        <v>63</v>
      </c>
      <c r="Z15" s="59" t="s">
        <v>139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232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154</v>
      </c>
      <c r="AA16" s="59" t="s">
        <v>105</v>
      </c>
      <c r="AB16" s="59" t="s">
        <v>118</v>
      </c>
      <c r="AC16" s="59" t="s">
        <v>155</v>
      </c>
      <c r="AD16" s="59" t="s">
        <v>92</v>
      </c>
      <c r="AE16" s="59" t="s">
        <v>119</v>
      </c>
      <c r="AF16" s="59" t="s">
        <v>152</v>
      </c>
      <c r="AG16" s="59" t="s">
        <v>156</v>
      </c>
      <c r="AH16" s="59" t="s">
        <v>113</v>
      </c>
      <c r="AI16" s="59" t="s">
        <v>157</v>
      </c>
      <c r="AJ16" s="59" t="s">
        <v>143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233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158</v>
      </c>
      <c r="Z17" s="59" t="s">
        <v>159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159</v>
      </c>
      <c r="AG17" s="59" t="s">
        <v>78</v>
      </c>
      <c r="AH17" s="59" t="s">
        <v>122</v>
      </c>
      <c r="AI17" s="59" t="s">
        <v>158</v>
      </c>
      <c r="AJ17" s="59" t="s">
        <v>7</v>
      </c>
      <c r="AK17" s="59" t="s">
        <v>7</v>
      </c>
      <c r="AL17" s="59" t="s">
        <v>160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234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161</v>
      </c>
      <c r="Y18" s="59" t="s">
        <v>7</v>
      </c>
      <c r="Z18" s="59" t="s">
        <v>162</v>
      </c>
      <c r="AA18" s="59" t="s">
        <v>78</v>
      </c>
      <c r="AB18" s="59" t="s">
        <v>163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153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235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164</v>
      </c>
      <c r="Z19" s="59" t="s">
        <v>152</v>
      </c>
      <c r="AA19" s="59" t="s">
        <v>152</v>
      </c>
      <c r="AB19" s="59" t="s">
        <v>121</v>
      </c>
      <c r="AC19" s="59" t="s">
        <v>165</v>
      </c>
      <c r="AD19" s="59" t="s">
        <v>166</v>
      </c>
      <c r="AE19" s="59" t="s">
        <v>167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160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236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69" t="s">
        <v>168</v>
      </c>
      <c r="Y20" s="69" t="s">
        <v>6</v>
      </c>
      <c r="Z20" s="69" t="s">
        <v>125</v>
      </c>
      <c r="AA20" s="69" t="s">
        <v>131</v>
      </c>
      <c r="AB20" s="69" t="s">
        <v>7</v>
      </c>
      <c r="AC20" s="69" t="s">
        <v>91</v>
      </c>
      <c r="AD20" s="69" t="s">
        <v>78</v>
      </c>
      <c r="AE20" s="69" t="s">
        <v>87</v>
      </c>
      <c r="AF20" s="69" t="s">
        <v>169</v>
      </c>
      <c r="AG20" s="69" t="s">
        <v>97</v>
      </c>
      <c r="AH20" s="69" t="s">
        <v>178</v>
      </c>
      <c r="AI20" s="69" t="s">
        <v>170</v>
      </c>
      <c r="AJ20" t="str">
        <f>IF(HDR10Plus="Y",V29,V30)</f>
        <v>e5</v>
      </c>
      <c r="AK20" t="str">
        <f>IF(HDR10Plus="Y",W29,W30)</f>
        <v>01</v>
      </c>
      <c r="AL20" t="str">
        <f>IF(HDR10Plus="Y",X29,X30)</f>
        <v>8b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237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t="str">
        <f>IF(HDR10Plus="Y",Y29,Y30)</f>
        <v>84</v>
      </c>
      <c r="X21" t="str">
        <f>IF(HDR10Plus="Y",Z29,Z30)</f>
        <v>90</v>
      </c>
      <c r="Y21" t="str">
        <f>IF(HDR10Plus="Y",AA29,AA30)</f>
        <v>01</v>
      </c>
      <c r="Z21" t="str">
        <f t="shared" ref="Z21:AJ21" si="3">IF(HDR10Plus="Y",V30,AB30)</f>
        <v>8C</v>
      </c>
      <c r="AA21" t="str">
        <f t="shared" si="3"/>
        <v>0A</v>
      </c>
      <c r="AB21" t="str">
        <f t="shared" si="3"/>
        <v>D0</v>
      </c>
      <c r="AC21" t="str">
        <f t="shared" si="3"/>
        <v>8A</v>
      </c>
      <c r="AD21" t="str">
        <f t="shared" si="3"/>
        <v>20</v>
      </c>
      <c r="AE21" t="str">
        <f t="shared" si="3"/>
        <v>E0</v>
      </c>
      <c r="AF21" t="str">
        <f t="shared" si="3"/>
        <v>2D</v>
      </c>
      <c r="AG21" t="str">
        <f t="shared" si="3"/>
        <v>10</v>
      </c>
      <c r="AH21" t="str">
        <f t="shared" si="3"/>
        <v>10</v>
      </c>
      <c r="AI21" t="str">
        <f t="shared" si="3"/>
        <v>3E</v>
      </c>
      <c r="AJ21" t="str">
        <f t="shared" si="3"/>
        <v>96</v>
      </c>
      <c r="AK21" t="str">
        <f>IF(HDR10Plus="Y",AG30,"00")</f>
        <v>00</v>
      </c>
      <c r="AL21" t="str">
        <f>IF(HDR10Plus="Y",AH30,"00")</f>
        <v>C4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238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t="str">
        <f>IF(HDR10Plus="Y",AI30,"00")</f>
        <v>8E</v>
      </c>
      <c r="X22" t="str">
        <f>IF(HDR10Plus="Y",AJ30,"00")</f>
        <v>21</v>
      </c>
      <c r="Y22" t="str">
        <f>IF(HDR10Plus="Y",AK30,"00")</f>
        <v>00</v>
      </c>
      <c r="Z22" t="str">
        <f>IF(HDR10Plus="Y",AL30,"00")</f>
        <v>00</v>
      </c>
      <c r="AA22" t="str">
        <f>IF(HDR10Plus="Y",AM30,"00")</f>
        <v>18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177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249</v>
      </c>
    </row>
    <row r="23" spans="2:54" x14ac:dyDescent="0.3">
      <c r="B23" s="67" t="str">
        <f t="shared" si="1"/>
        <v>Patch 81C0</v>
      </c>
      <c r="C23" s="68" t="str">
        <f>_xlfn.CONCAT(":1081C000",Y15,"F25361606566010304050710121314")</f>
        <v>:1081C00063F25361606566010304050710121314</v>
      </c>
      <c r="D23" s="36"/>
      <c r="E23" s="36"/>
      <c r="F23" s="36"/>
      <c r="G23" s="36" t="str" cm="1">
        <f t="array" ref="G23">IntelHexChecksum(RIGHT(C23,40))</f>
        <v>1E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250</v>
      </c>
    </row>
    <row r="24" spans="2:54" x14ac:dyDescent="0.3">
      <c r="B24" s="67" t="str">
        <f t="shared" si="1"/>
        <v>Patch 81D0</v>
      </c>
      <c r="C24" s="68" t="s">
        <v>240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251</v>
      </c>
    </row>
    <row r="25" spans="2:54" x14ac:dyDescent="0.3">
      <c r="B25" s="67" t="str">
        <f t="shared" si="1"/>
        <v>Patch 81E0</v>
      </c>
      <c r="C25" s="68" t="s">
        <v>241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HEX2DEC("5d")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242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DEC2HEX(V25+IF(HDR10Plus="Y",6,0))</f>
        <v>63</v>
      </c>
      <c r="W26" t="s">
        <v>253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tr">
        <f>_xlfn.CONCAT(":10820000E20F0F67D85DC401788003E3060501",X20)</f>
        <v>:10820000E20F0F67D85DC401788003E3060501EB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tr">
        <f>_xlfn.CONCAT(":10821000",Y20:AL20,W21:X21)</f>
        <v>:108210000146D000450348A15855A2e5018b8490</v>
      </c>
      <c r="D28" s="36"/>
      <c r="E28" s="36"/>
      <c r="F28" s="36"/>
      <c r="G28" s="36" t="str" cm="1">
        <f t="array" ref="G28">IntelHexChecksum(RIGHT(C28,40))</f>
        <v>42</v>
      </c>
      <c r="H28" s="36"/>
      <c r="I28" s="36"/>
      <c r="J28" s="41"/>
      <c r="U28" t="s">
        <v>180</v>
      </c>
      <c r="V28" t="s">
        <v>181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tr">
        <f>_xlfn.CONCAT(":10822000",Y21:AL21,W22:X22)</f>
        <v>:10822000018C0AD08A20E02D10103E9600C48E21</v>
      </c>
      <c r="D29" s="36"/>
      <c r="E29" s="36"/>
      <c r="F29" s="36"/>
      <c r="G29" s="36" t="str" cm="1">
        <f t="array" ref="G29">IntelHexChecksum(RIGHT(C29,40))</f>
        <v>C9</v>
      </c>
      <c r="H29" s="36"/>
      <c r="I29" s="36"/>
      <c r="J29" s="41"/>
      <c r="U29" t="s">
        <v>182</v>
      </c>
      <c r="V29" t="s">
        <v>183</v>
      </c>
      <c r="W29" s="59" t="s">
        <v>6</v>
      </c>
      <c r="X29" s="59" t="s">
        <v>176</v>
      </c>
      <c r="Y29" s="59" t="s">
        <v>175</v>
      </c>
      <c r="Z29" s="59" t="s">
        <v>179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tr">
        <f>_xlfn.CONCAT(":10823000",Y22:AL22,"00FF")</f>
        <v>:1082300000001800000000000000000000E400FF</v>
      </c>
      <c r="D30" s="44"/>
      <c r="E30" s="44"/>
      <c r="F30" s="44"/>
      <c r="G30" s="44" t="str" cm="1">
        <f t="array" ref="G30">IntelHexChecksum(RIGHT(C30,40))</f>
        <v>43</v>
      </c>
      <c r="H30" s="44"/>
      <c r="I30" s="44"/>
      <c r="J30" s="45"/>
      <c r="U30" t="s">
        <v>252</v>
      </c>
      <c r="V30" s="59" t="s">
        <v>171</v>
      </c>
      <c r="W30" s="59" t="s">
        <v>134</v>
      </c>
      <c r="X30" s="75" t="s">
        <v>131</v>
      </c>
      <c r="Y30" s="59" t="s">
        <v>141</v>
      </c>
      <c r="Z30" s="59" t="s">
        <v>105</v>
      </c>
      <c r="AA30" s="59" t="s">
        <v>172</v>
      </c>
      <c r="AB30" s="59" t="s">
        <v>145</v>
      </c>
      <c r="AC30" s="59" t="s">
        <v>28</v>
      </c>
      <c r="AD30" s="59" t="s">
        <v>28</v>
      </c>
      <c r="AE30" s="59" t="s">
        <v>173</v>
      </c>
      <c r="AF30" s="59" t="s">
        <v>126</v>
      </c>
      <c r="AG30" s="59" t="s">
        <v>7</v>
      </c>
      <c r="AH30" s="59" t="s">
        <v>167</v>
      </c>
      <c r="AI30" s="59" t="s">
        <v>174</v>
      </c>
      <c r="AJ30" s="59" t="s">
        <v>88</v>
      </c>
      <c r="AK30" s="59" t="s">
        <v>7</v>
      </c>
      <c r="AL30" s="59" t="s">
        <v>7</v>
      </c>
      <c r="AM30" s="59" t="s">
        <v>100</v>
      </c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9" priority="5">
      <formula>$N$7="Supported"</formula>
    </cfRule>
  </conditionalFormatting>
  <conditionalFormatting sqref="P7">
    <cfRule type="expression" dxfId="8" priority="4" stopIfTrue="1">
      <formula>IF(AND($N$7="Supported",$P$7="Supported"),TRUE,FALSE)</formula>
    </cfRule>
  </conditionalFormatting>
  <conditionalFormatting sqref="I7">
    <cfRule type="expression" dxfId="7" priority="3">
      <formula>$E$7="Not Supported"</formula>
    </cfRule>
  </conditionalFormatting>
  <conditionalFormatting sqref="N7">
    <cfRule type="expression" dxfId="6" priority="2">
      <formula>$P$7="Supported"</formula>
    </cfRule>
  </conditionalFormatting>
  <conditionalFormatting sqref="N7">
    <cfRule type="expression" dxfId="5" priority="1" stopIfTrue="1">
      <formula>IF(AND($N$7="Supported",$P$7="Supported"),TRUE,FALSE)</formula>
    </cfRule>
  </conditionalFormatting>
  <dataValidations count="7">
    <dataValidation type="list" allowBlank="1" showInputMessage="1" showErrorMessage="1" sqref="I3" xr:uid="{A79A737F-7D54-496E-AE4C-D21CF03A25E4}">
      <formula1>$AU$15:$AU$18</formula1>
    </dataValidation>
    <dataValidation type="list" allowBlank="1" showInputMessage="1" showErrorMessage="1" sqref="J7" xr:uid="{253504B4-3AEC-4428-AC2F-8E2201FCC2AC}">
      <formula1>$AN$5:$AN$36</formula1>
    </dataValidation>
    <dataValidation type="list" allowBlank="1" showInputMessage="1" showErrorMessage="1" sqref="I7" xr:uid="{E924FE42-9EF4-46E9-9F1A-641E534AF7B7}">
      <formula1>$AR$5:$AR$9</formula1>
    </dataValidation>
    <dataValidation type="list" allowBlank="1" showInputMessage="1" showErrorMessage="1" sqref="L7" xr:uid="{BC6A646E-6256-45E6-B8A7-18A6510DC0D0}">
      <formula1>$AU$5:$AU$8</formula1>
    </dataValidation>
    <dataValidation type="list" allowBlank="1" showInputMessage="1" showErrorMessage="1" sqref="P7 E7:F7 H7 N7" xr:uid="{174B1156-D40A-48CF-B785-6E212E97FE87}">
      <formula1>"Supported, Not Supported"</formula1>
    </dataValidation>
    <dataValidation type="list" allowBlank="1" showInputMessage="1" showErrorMessage="1" sqref="G7" xr:uid="{DA001E7E-B9D6-4858-9DA3-F90B2AEB09E6}">
      <formula1>$AQ$5:$AQ$36</formula1>
    </dataValidation>
    <dataValidation type="list" allowBlank="1" showInputMessage="1" showErrorMessage="1" sqref="K3" xr:uid="{F1368740-D015-48DB-92BD-4B4F52D41D93}">
      <formula1>$AU$23:$AU$24</formula1>
    </dataValidation>
  </dataValidations>
  <hyperlinks>
    <hyperlink ref="V24" r:id="rId1" xr:uid="{F119D631-B921-428E-9314-A4A34ECCA21A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10C8-2446-46E8-BD93-2139B058E3AA}">
  <sheetPr codeName="Sheet18"/>
  <dimension ref="B2:BC54"/>
  <sheetViews>
    <sheetView zoomScale="85" zoomScaleNormal="85" workbookViewId="0">
      <selection activeCell="L21" sqref="L2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0" t="str">
        <f>DEC2HEX(_xlfn.BITLSHIFT(BIN2DEC(C8),5)+_xlfn.BITLSHIFT(BIN2DEC(D8),2)+_xlfn.BITLSHIFT(BIN2DEC(E8),1)+BIN2DEC(F8))</f>
        <v>49</v>
      </c>
      <c r="D5" s="80"/>
      <c r="E5" s="80"/>
      <c r="F5" s="81"/>
      <c r="G5" s="82" t="str">
        <f>DEC2HEX(_xlfn.BITLSHIFT(BIN2DEC(G8),3)+_xlfn.BITLSHIFT(BIN2DEC(H8),2)+BIN2DEC(I8),2)</f>
        <v>03</v>
      </c>
      <c r="H5" s="78"/>
      <c r="I5" s="79"/>
      <c r="J5" s="82" t="str">
        <f>DEC2HEX(_xlfn.BITLSHIFT(BIN2DEC(J8),3)+_xlfn.BITLSHIFT(BIN2DEC(K8),1)+BIN2DEC(L8),2)</f>
        <v>50</v>
      </c>
      <c r="K5" s="78"/>
      <c r="L5" s="79"/>
      <c r="M5" s="78" t="str">
        <f>BIN2HEX(_xlfn.CONCAT(M8,N8),2)</f>
        <v>A1</v>
      </c>
      <c r="N5" s="79"/>
      <c r="O5" s="78" t="str">
        <f>BIN2HEX(_xlfn.CONCAT(O8,P8),2)</f>
        <v>58</v>
      </c>
      <c r="P5" s="79"/>
      <c r="Q5" s="78" t="str">
        <f>BIN2HEX(_xlfn.CONCAT(Q8,R8),2)</f>
        <v>55</v>
      </c>
      <c r="R5" s="79"/>
      <c r="S5" s="78" t="str">
        <f>BIN2HEX(_xlfn.CONCAT(S8,T8),2)</f>
        <v>A2</v>
      </c>
      <c r="T5" s="79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447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185</v>
      </c>
      <c r="Y7" s="59" t="s">
        <v>185</v>
      </c>
      <c r="Z7" s="59" t="s">
        <v>185</v>
      </c>
      <c r="AA7" s="59" t="s">
        <v>185</v>
      </c>
      <c r="AB7" s="59" t="s">
        <v>185</v>
      </c>
      <c r="AC7" s="59" t="s">
        <v>185</v>
      </c>
      <c r="AD7" s="59" t="s">
        <v>7</v>
      </c>
      <c r="AE7" s="59" t="s">
        <v>75</v>
      </c>
      <c r="AF7" s="59" t="s">
        <v>186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01010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187</v>
      </c>
      <c r="AF8" s="59" t="s">
        <v>188</v>
      </c>
      <c r="AG8" s="59" t="s">
        <v>83</v>
      </c>
      <c r="AH8" s="59" t="s">
        <v>186</v>
      </c>
      <c r="AI8" s="59" t="s">
        <v>84</v>
      </c>
      <c r="AJ8" s="59" t="s">
        <v>189</v>
      </c>
      <c r="AK8" s="59" t="s">
        <v>190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189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191</v>
      </c>
      <c r="AE10" s="59" t="s">
        <v>7</v>
      </c>
      <c r="AF10" s="59" t="s">
        <v>95</v>
      </c>
      <c r="AG10" s="59" t="s">
        <v>192</v>
      </c>
      <c r="AH10" s="59" t="s">
        <v>96</v>
      </c>
      <c r="AI10" s="59" t="s">
        <v>193</v>
      </c>
      <c r="AJ10" s="59" t="s">
        <v>79</v>
      </c>
      <c r="AK10" s="59" t="s">
        <v>190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184</v>
      </c>
      <c r="J11" s="40"/>
      <c r="V11" s="59"/>
      <c r="W11" s="59" t="s">
        <v>194</v>
      </c>
      <c r="X11" s="59" t="s">
        <v>7</v>
      </c>
      <c r="Y11" s="59" t="s">
        <v>98</v>
      </c>
      <c r="Z11" s="59" t="s">
        <v>195</v>
      </c>
      <c r="AA11" s="59" t="s">
        <v>83</v>
      </c>
      <c r="AB11" s="59" t="s">
        <v>7</v>
      </c>
      <c r="AC11" s="59" t="s">
        <v>7</v>
      </c>
      <c r="AD11" s="59" t="s">
        <v>196</v>
      </c>
      <c r="AE11" s="59" t="s">
        <v>99</v>
      </c>
      <c r="AF11" s="59" t="s">
        <v>197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198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EB0146D000490350A15855A2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199</v>
      </c>
      <c r="Y12" s="59" t="s">
        <v>91</v>
      </c>
      <c r="Z12" s="59" t="s">
        <v>7</v>
      </c>
      <c r="AA12" s="59" t="s">
        <v>98</v>
      </c>
      <c r="AB12" s="59" t="s">
        <v>195</v>
      </c>
      <c r="AC12" s="59" t="s">
        <v>83</v>
      </c>
      <c r="AD12" s="59" t="s">
        <v>7</v>
      </c>
      <c r="AE12" s="59" t="s">
        <v>7</v>
      </c>
      <c r="AF12" s="59" t="s">
        <v>196</v>
      </c>
      <c r="AG12" s="59" t="s">
        <v>7</v>
      </c>
      <c r="AH12" s="59" t="s">
        <v>7</v>
      </c>
      <c r="AI12" s="59" t="s">
        <v>7</v>
      </c>
      <c r="AJ12" s="59" t="s">
        <v>200</v>
      </c>
      <c r="AK12" s="59" t="s">
        <v>7</v>
      </c>
      <c r="AL12" s="59" t="s">
        <v>201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4C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198</v>
      </c>
      <c r="Z13" s="59" t="s">
        <v>202</v>
      </c>
      <c r="AA13" s="59" t="s">
        <v>198</v>
      </c>
      <c r="AB13" s="59" t="s">
        <v>104</v>
      </c>
      <c r="AC13" s="59" t="s">
        <v>198</v>
      </c>
      <c r="AD13" s="59" t="s">
        <v>87</v>
      </c>
      <c r="AE13" s="59" t="s">
        <v>187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203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247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204</v>
      </c>
      <c r="Z14" s="59" t="s">
        <v>205</v>
      </c>
      <c r="AA14" s="59" t="s">
        <v>106</v>
      </c>
      <c r="AB14" s="59" t="s">
        <v>206</v>
      </c>
      <c r="AC14" s="59" t="s">
        <v>7</v>
      </c>
      <c r="AD14" s="59" t="s">
        <v>187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231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207</v>
      </c>
      <c r="Z15" s="59" t="s">
        <v>192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232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208</v>
      </c>
      <c r="AA16" s="59" t="s">
        <v>105</v>
      </c>
      <c r="AB16" s="59" t="s">
        <v>118</v>
      </c>
      <c r="AC16" s="59" t="s">
        <v>209</v>
      </c>
      <c r="AD16" s="59" t="s">
        <v>92</v>
      </c>
      <c r="AE16" s="59" t="s">
        <v>119</v>
      </c>
      <c r="AF16" s="59" t="s">
        <v>205</v>
      </c>
      <c r="AG16" s="59" t="s">
        <v>210</v>
      </c>
      <c r="AH16" s="59" t="s">
        <v>113</v>
      </c>
      <c r="AI16" s="59" t="s">
        <v>211</v>
      </c>
      <c r="AJ16" s="59" t="s">
        <v>196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233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212</v>
      </c>
      <c r="Z17" s="59" t="s">
        <v>213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213</v>
      </c>
      <c r="AG17" s="59" t="s">
        <v>78</v>
      </c>
      <c r="AH17" s="59" t="s">
        <v>122</v>
      </c>
      <c r="AI17" s="59" t="s">
        <v>212</v>
      </c>
      <c r="AJ17" s="59" t="s">
        <v>7</v>
      </c>
      <c r="AK17" s="59" t="s">
        <v>7</v>
      </c>
      <c r="AL17" s="59" t="s">
        <v>214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234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215</v>
      </c>
      <c r="Y18" s="59" t="s">
        <v>7</v>
      </c>
      <c r="Z18" s="59" t="s">
        <v>216</v>
      </c>
      <c r="AA18" s="59" t="s">
        <v>78</v>
      </c>
      <c r="AB18" s="59" t="s">
        <v>217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206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235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218</v>
      </c>
      <c r="Z19" s="59" t="s">
        <v>205</v>
      </c>
      <c r="AA19" s="59" t="s">
        <v>205</v>
      </c>
      <c r="AB19" s="59" t="s">
        <v>121</v>
      </c>
      <c r="AC19" s="59" t="s">
        <v>219</v>
      </c>
      <c r="AD19" s="59" t="s">
        <v>207</v>
      </c>
      <c r="AE19" s="59" t="s">
        <v>220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214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236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59" t="s">
        <v>124</v>
      </c>
      <c r="Y20" s="59" t="s">
        <v>6</v>
      </c>
      <c r="Z20" s="59" t="s">
        <v>125</v>
      </c>
      <c r="AA20" s="59" t="s">
        <v>221</v>
      </c>
      <c r="AB20" s="59" t="s">
        <v>7</v>
      </c>
      <c r="AC20" s="59" t="s">
        <v>222</v>
      </c>
      <c r="AD20" s="59" t="s">
        <v>187</v>
      </c>
      <c r="AE20" s="59" t="s">
        <v>86</v>
      </c>
      <c r="AF20" s="59" t="s">
        <v>223</v>
      </c>
      <c r="AG20" s="59" t="s">
        <v>79</v>
      </c>
      <c r="AH20" s="59" t="s">
        <v>224</v>
      </c>
      <c r="AI20" s="59" t="s">
        <v>225</v>
      </c>
      <c r="AJ20" s="59" t="s">
        <v>226</v>
      </c>
      <c r="AK20" s="59" t="s">
        <v>187</v>
      </c>
      <c r="AL20" s="59" t="s">
        <v>221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237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s="76" t="s">
        <v>194</v>
      </c>
      <c r="X21" s="76" t="s">
        <v>105</v>
      </c>
      <c r="Y21" s="76" t="s">
        <v>227</v>
      </c>
      <c r="Z21" s="59" t="s">
        <v>198</v>
      </c>
      <c r="AA21" s="59" t="s">
        <v>28</v>
      </c>
      <c r="AB21" s="75" t="s">
        <v>28</v>
      </c>
      <c r="AC21" s="59" t="s">
        <v>228</v>
      </c>
      <c r="AD21" s="59" t="s">
        <v>126</v>
      </c>
      <c r="AE21" s="59" t="s">
        <v>7</v>
      </c>
      <c r="AF21" s="59" t="s">
        <v>220</v>
      </c>
      <c r="AG21" s="59" t="s">
        <v>229</v>
      </c>
      <c r="AH21" s="59" t="s">
        <v>88</v>
      </c>
      <c r="AI21" s="59" t="s">
        <v>7</v>
      </c>
      <c r="AJ21" s="59" t="s">
        <v>7</v>
      </c>
      <c r="AK21" s="59" t="s">
        <v>100</v>
      </c>
      <c r="AL21" s="59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238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s="59" t="s">
        <v>7</v>
      </c>
      <c r="X22" s="59" t="s">
        <v>7</v>
      </c>
      <c r="Y22" s="59" t="s">
        <v>7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230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67" t="str">
        <f t="shared" si="1"/>
        <v>Patch 81C0</v>
      </c>
      <c r="C23" s="68" t="s">
        <v>239</v>
      </c>
      <c r="D23" s="36"/>
      <c r="E23" s="36"/>
      <c r="F23" s="36"/>
      <c r="G23" s="36" t="str" cm="1">
        <f t="array" ref="G23">IntelHexChecksum(RIGHT(C23,40))</f>
        <v>24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67" t="str">
        <f t="shared" si="1"/>
        <v>Patch 81D0</v>
      </c>
      <c r="C24" s="68" t="s">
        <v>240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67" t="str">
        <f t="shared" si="1"/>
        <v>Patch 81E0</v>
      </c>
      <c r="C25" s="68" t="s">
        <v>241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HEX2DEC(Y15)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242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DEC2HEX(V25+12+6)</f>
        <v>6F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">
        <v>243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50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">
        <v>244</v>
      </c>
      <c r="D28" s="36"/>
      <c r="E28" s="36"/>
      <c r="F28" s="36"/>
      <c r="G28" s="36" t="str" cm="1">
        <f t="array" ref="G28">IntelHexChecksum(RIGHT(C28,40))</f>
        <v>42</v>
      </c>
      <c r="H28" s="36"/>
      <c r="I28" s="36"/>
      <c r="J28" s="41"/>
      <c r="U28" t="s">
        <v>180</v>
      </c>
      <c r="V28" t="s">
        <v>181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">
        <v>245</v>
      </c>
      <c r="D29" s="36"/>
      <c r="E29" s="36"/>
      <c r="F29" s="36"/>
      <c r="G29" s="36" t="str" cm="1">
        <f t="array" ref="G29">IntelHexChecksum(RIGHT(C29,40))</f>
        <v>C2</v>
      </c>
      <c r="H29" s="36"/>
      <c r="I29" s="36"/>
      <c r="J29" s="41"/>
      <c r="U29" t="s">
        <v>182</v>
      </c>
      <c r="V29" t="s">
        <v>183</v>
      </c>
      <c r="W29" s="59" t="s">
        <v>6</v>
      </c>
      <c r="X29" s="59" t="s">
        <v>176</v>
      </c>
      <c r="Y29" s="59" t="s">
        <v>175</v>
      </c>
      <c r="Z29" s="59" t="s">
        <v>179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">
        <v>246</v>
      </c>
      <c r="D30" s="44"/>
      <c r="E30" s="44"/>
      <c r="F30" s="44"/>
      <c r="G30" s="44" t="str" cm="1">
        <f t="array" ref="G30">IntelHexChecksum(RIGHT(C30,40))</f>
        <v>5B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4" priority="5">
      <formula>$N$7="Supported"</formula>
    </cfRule>
  </conditionalFormatting>
  <conditionalFormatting sqref="P7">
    <cfRule type="expression" dxfId="3" priority="4" stopIfTrue="1">
      <formula>IF(AND($N$7="Supported",$P$7="Supported"),TRUE,FALSE)</formula>
    </cfRule>
  </conditionalFormatting>
  <conditionalFormatting sqref="I7">
    <cfRule type="expression" dxfId="2" priority="3">
      <formula>$E$7="Not Supported"</formula>
    </cfRule>
  </conditionalFormatting>
  <conditionalFormatting sqref="N7">
    <cfRule type="expression" dxfId="1" priority="2">
      <formula>$P$7="Supported"</formula>
    </cfRule>
  </conditionalFormatting>
  <conditionalFormatting sqref="N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EFCDFF8E-1AD2-4693-9371-03C4EFEC0537}">
      <formula1>$AQ$5:$AQ$36</formula1>
    </dataValidation>
    <dataValidation type="list" allowBlank="1" showInputMessage="1" showErrorMessage="1" sqref="P7 E7:F7 H7 N7" xr:uid="{44AC3160-C6A6-40A7-B468-95290CC4D366}">
      <formula1>"Supported, Not Supported"</formula1>
    </dataValidation>
    <dataValidation type="list" allowBlank="1" showInputMessage="1" showErrorMessage="1" sqref="L7" xr:uid="{F25CBB2A-FCBB-4D3C-8905-8487F0252F81}">
      <formula1>$AU$5:$AU$8</formula1>
    </dataValidation>
    <dataValidation type="list" allowBlank="1" showInputMessage="1" showErrorMessage="1" sqref="I7" xr:uid="{AF30D05C-2410-459C-A6D1-9F5B8FE746DB}">
      <formula1>$AR$5:$AR$9</formula1>
    </dataValidation>
    <dataValidation type="list" allowBlank="1" showInputMessage="1" showErrorMessage="1" sqref="J7" xr:uid="{44534B4D-B654-4080-B71F-B4177159C9BA}">
      <formula1>$AN$5:$AN$36</formula1>
    </dataValidation>
    <dataValidation type="list" allowBlank="1" showInputMessage="1" showErrorMessage="1" sqref="I3" xr:uid="{4BB27D43-C17E-4575-ACA2-34CBD778353B}">
      <formula1>$AU$15:$AU$18</formula1>
    </dataValidation>
  </dataValidations>
  <hyperlinks>
    <hyperlink ref="V24" r:id="rId1" xr:uid="{51EFC76F-1421-4425-96C2-7527DA94A642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Patcher</vt:lpstr>
      <vt:lpstr>Custom DV</vt:lpstr>
      <vt:lpstr>Custom EDID-EZCOO</vt:lpstr>
      <vt:lpstr>Original EDID-EZCOO</vt:lpstr>
      <vt:lpstr>HDR10Plus</vt:lpstr>
      <vt:lpstr>LS12000_Native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2023-10-29T15:11:23Z</dcterms:modified>
</cp:coreProperties>
</file>